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5"/>
    <sheet state="visible" name="COURT WHIST" sheetId="2" r:id="rId6"/>
    <sheet state="visible" name="BEANBAG" sheetId="3" r:id="rId7"/>
    <sheet state="visible" name="CRIBBAGE" sheetId="4" r:id="rId8"/>
    <sheet state="visible" name="VOLLEYBALL" sheetId="5" r:id="rId9"/>
    <sheet state="visible" name="KUBB" sheetId="6" r:id="rId10"/>
    <sheet state="visible" name="GOLF" sheetId="7" r:id="rId11"/>
    <sheet state="visible" name="BACKGAMMON" sheetId="8" r:id="rId12"/>
    <sheet state="visible" name="EUCHRE" sheetId="9" r:id="rId13"/>
    <sheet state="visible" name="BOCCE" sheetId="10" r:id="rId14"/>
    <sheet state="visible" name="PICKLEBALL" sheetId="11" r:id="rId15"/>
    <sheet state="visible" name="GOLF CARDS" sheetId="12" r:id="rId16"/>
    <sheet state="visible" name="3-CLUB CHALLENGE" sheetId="13" r:id="rId17"/>
    <sheet state="visible" name="TEXAS HOLD EM" sheetId="14" r:id="rId18"/>
  </sheets>
  <definedNames/>
  <calcPr/>
</workbook>
</file>

<file path=xl/sharedStrings.xml><?xml version="1.0" encoding="utf-8"?>
<sst xmlns="http://schemas.openxmlformats.org/spreadsheetml/2006/main" count="822" uniqueCount="138">
  <si>
    <t>Place</t>
  </si>
  <si>
    <t>Name</t>
  </si>
  <si>
    <t>Points</t>
  </si>
  <si>
    <t>Tournaments Entered</t>
  </si>
  <si>
    <t>Court Whist</t>
  </si>
  <si>
    <t>Beanbag</t>
  </si>
  <si>
    <t>Cribbage</t>
  </si>
  <si>
    <t>Volleyball</t>
  </si>
  <si>
    <t>Kubb</t>
  </si>
  <si>
    <t>Golf</t>
  </si>
  <si>
    <t>Backgammon</t>
  </si>
  <si>
    <t>Euchre</t>
  </si>
  <si>
    <t>Bocce</t>
  </si>
  <si>
    <t>Pickleball</t>
  </si>
  <si>
    <t>Golf Cards</t>
  </si>
  <si>
    <t>3-Club Challenge</t>
  </si>
  <si>
    <t>Texas Hold 'Em</t>
  </si>
  <si>
    <t>Total Score</t>
  </si>
  <si>
    <t>Average Score</t>
  </si>
  <si>
    <t>KEY</t>
  </si>
  <si>
    <t>Brian Horner</t>
  </si>
  <si>
    <t>Active Score</t>
  </si>
  <si>
    <t>Kevin Horner</t>
  </si>
  <si>
    <t>Inactive Score</t>
  </si>
  <si>
    <t>Adam Murphy</t>
  </si>
  <si>
    <t>No Participation</t>
  </si>
  <si>
    <t>Patty Murphy</t>
  </si>
  <si>
    <t>T5</t>
  </si>
  <si>
    <t>Zach Leahy</t>
  </si>
  <si>
    <t xml:space="preserve"> </t>
  </si>
  <si>
    <t>John Murphy</t>
  </si>
  <si>
    <t>Shane Fitzpatrick</t>
  </si>
  <si>
    <t>Ben Aeshliman</t>
  </si>
  <si>
    <t>T9</t>
  </si>
  <si>
    <t>Katie Bonicatto</t>
  </si>
  <si>
    <t>Bridget Leahy</t>
  </si>
  <si>
    <t>Luke Wieneke</t>
  </si>
  <si>
    <t>Ryan Fitzpatrick</t>
  </si>
  <si>
    <t>Heather Fitzpatrick</t>
  </si>
  <si>
    <t>Emily Horner</t>
  </si>
  <si>
    <t>Kelly Lindseth</t>
  </si>
  <si>
    <t>T16</t>
  </si>
  <si>
    <t>Max Murphy</t>
  </si>
  <si>
    <t>Teresa Aeshliman</t>
  </si>
  <si>
    <t>Seyha Saumweber</t>
  </si>
  <si>
    <t>Zack Schirmers</t>
  </si>
  <si>
    <t>T20</t>
  </si>
  <si>
    <t>Mike Pettit</t>
  </si>
  <si>
    <t>Shawn Murphy</t>
  </si>
  <si>
    <t>Robbie Murphy</t>
  </si>
  <si>
    <t>T23</t>
  </si>
  <si>
    <t>John Horner</t>
  </si>
  <si>
    <t>Colleen Irwin</t>
  </si>
  <si>
    <t>Michelle Pettit</t>
  </si>
  <si>
    <t>T26</t>
  </si>
  <si>
    <t>Timmy Leahy</t>
  </si>
  <si>
    <t>Anna Horner</t>
  </si>
  <si>
    <t>Brendan Lindseth</t>
  </si>
  <si>
    <t>Cindy Irwin</t>
  </si>
  <si>
    <t>Tricia Stahlmann</t>
  </si>
  <si>
    <t>Kyle Willette</t>
  </si>
  <si>
    <t>T32</t>
  </si>
  <si>
    <t>Samantha Pettit</t>
  </si>
  <si>
    <t>Will Modrow</t>
  </si>
  <si>
    <t>Lauren Horner</t>
  </si>
  <si>
    <t>Mackenzie Leahy</t>
  </si>
  <si>
    <t>T36</t>
  </si>
  <si>
    <t>Tim Pettit</t>
  </si>
  <si>
    <t>Angie Willette</t>
  </si>
  <si>
    <t>Shaun Irwin</t>
  </si>
  <si>
    <t>Celina Aeshliman</t>
  </si>
  <si>
    <t>Peggy Bonicatto</t>
  </si>
  <si>
    <t>T41</t>
  </si>
  <si>
    <t>Donna Weineke</t>
  </si>
  <si>
    <t>Molly Murphy</t>
  </si>
  <si>
    <t>Nora Modrow</t>
  </si>
  <si>
    <t>Daniel Horner</t>
  </si>
  <si>
    <t>T45</t>
  </si>
  <si>
    <t>Larry Aeshliman</t>
  </si>
  <si>
    <t>Dave (Sr.) Modrow</t>
  </si>
  <si>
    <t>T47</t>
  </si>
  <si>
    <t>Andrew Breviu</t>
  </si>
  <si>
    <t>Cathy Murphy</t>
  </si>
  <si>
    <t>Lauren Lindseth</t>
  </si>
  <si>
    <t>Barry Fitzpatrick</t>
  </si>
  <si>
    <t>T51</t>
  </si>
  <si>
    <t>Matt Stahlmann</t>
  </si>
  <si>
    <t>Terri Theis</t>
  </si>
  <si>
    <t>Sawyer Scherer</t>
  </si>
  <si>
    <t>T54</t>
  </si>
  <si>
    <t>Bob Bonicatto</t>
  </si>
  <si>
    <t>Zach Schmoll</t>
  </si>
  <si>
    <t>Jason Lindseth</t>
  </si>
  <si>
    <t>Rick Pettit</t>
  </si>
  <si>
    <t>Colleen Saumweber</t>
  </si>
  <si>
    <t>(Cincy) Rob Murphy</t>
  </si>
  <si>
    <t>Kilayna</t>
  </si>
  <si>
    <t>T61</t>
  </si>
  <si>
    <t>Zach Robertson</t>
  </si>
  <si>
    <t>Beth Horner</t>
  </si>
  <si>
    <t>Ailish Fitzpatrick</t>
  </si>
  <si>
    <t>John Dixon</t>
  </si>
  <si>
    <t>T65</t>
  </si>
  <si>
    <t>Kathleen Murphy</t>
  </si>
  <si>
    <t>David Modrow</t>
  </si>
  <si>
    <t>T67</t>
  </si>
  <si>
    <t>Kate Murphy</t>
  </si>
  <si>
    <t>Colleen Modrow</t>
  </si>
  <si>
    <t>Alice Pettit</t>
  </si>
  <si>
    <t>PC Points</t>
  </si>
  <si>
    <t>T2</t>
  </si>
  <si>
    <t>T6</t>
  </si>
  <si>
    <t>Angi Willette</t>
  </si>
  <si>
    <t>Tricia Stahlman</t>
  </si>
  <si>
    <t>T11</t>
  </si>
  <si>
    <t>Uncle Rob Murphy</t>
  </si>
  <si>
    <t>T12</t>
  </si>
  <si>
    <t>T13</t>
  </si>
  <si>
    <t>Matt Stahlman</t>
  </si>
  <si>
    <t>T21</t>
  </si>
  <si>
    <t>Donna Bonicatto</t>
  </si>
  <si>
    <t>T30</t>
  </si>
  <si>
    <t>T31</t>
  </si>
  <si>
    <t>Tim Leahy</t>
  </si>
  <si>
    <t>T35</t>
  </si>
  <si>
    <t>Games Won</t>
  </si>
  <si>
    <t>T4</t>
  </si>
  <si>
    <t>T7</t>
  </si>
  <si>
    <t>Donna Wieneke</t>
  </si>
  <si>
    <t>Wins</t>
  </si>
  <si>
    <t>T25</t>
  </si>
  <si>
    <t>Dave Modrow</t>
  </si>
  <si>
    <t>Score</t>
  </si>
  <si>
    <t>T17</t>
  </si>
  <si>
    <t>T15</t>
  </si>
  <si>
    <t>Tasha Aeshliman</t>
  </si>
  <si>
    <t>Ashley Modrow</t>
  </si>
  <si>
    <t>T10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</si>
</sst>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2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4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2" fontId="3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6.0"/>
    <col customWidth="1" min="3" max="3" width="6.13"/>
    <col customWidth="1" min="4" max="4" width="18.13"/>
    <col customWidth="1" min="5" max="5" width="10.5"/>
    <col customWidth="1" min="6" max="6" width="8.0"/>
    <col customWidth="1" min="7" max="7" width="8.25"/>
    <col customWidth="1" min="8" max="8" width="8.63"/>
    <col customWidth="1" min="9" max="9" width="5.25"/>
    <col customWidth="1" min="10" max="10" width="4.38"/>
    <col customWidth="1" min="11" max="11" width="11.88"/>
    <col customWidth="1" min="12" max="12" width="6.63"/>
    <col customWidth="1" min="13" max="13" width="6.0"/>
    <col customWidth="1" min="14" max="14" width="8.75"/>
    <col customWidth="1" min="15" max="15" width="9.5"/>
    <col customWidth="1" min="16" max="16" width="14.63"/>
    <col customWidth="1" min="17" max="17" width="13.25"/>
    <col customWidth="1" min="18" max="18" width="11.0"/>
    <col customWidth="1" min="19" max="19" width="12.63"/>
    <col customWidth="1" min="20" max="20" width="14.75"/>
    <col customWidth="1" min="21" max="21" width="16.0"/>
    <col customWidth="1" min="23" max="23" width="17.13"/>
    <col customWidth="1" min="24" max="24" width="16.13"/>
    <col customWidth="1" min="28" max="2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>
      <c r="A2" s="3">
        <v>1.0</v>
      </c>
      <c r="B2" s="3" t="s">
        <v>20</v>
      </c>
      <c r="C2" s="4">
        <v>95.0</v>
      </c>
      <c r="D2" s="3">
        <v>11.0</v>
      </c>
      <c r="E2" s="5">
        <f>'COURT WHIST'!D9</f>
        <v>8</v>
      </c>
      <c r="F2" s="5">
        <f>BEANBAG!D10</f>
        <v>10</v>
      </c>
      <c r="G2" s="3">
        <v>0.0</v>
      </c>
      <c r="H2" s="5">
        <f>VOLLEYBALL!D6</f>
        <v>10</v>
      </c>
      <c r="I2" s="5">
        <v>12.0</v>
      </c>
      <c r="J2" s="6">
        <f>GOLF!D3</f>
        <v>25</v>
      </c>
      <c r="K2" s="5">
        <f>BACKGAMMON!D22</f>
        <v>0</v>
      </c>
      <c r="L2" s="5">
        <v>2.0</v>
      </c>
      <c r="M2" s="6">
        <v>20.0</v>
      </c>
      <c r="N2" s="6">
        <v>25.0</v>
      </c>
      <c r="O2" s="6">
        <v>25.0</v>
      </c>
      <c r="P2" s="5">
        <v>0.0</v>
      </c>
      <c r="Q2" s="7">
        <v>0.0</v>
      </c>
      <c r="R2" s="8">
        <f t="shared" ref="R2:R70" si="1">SUM(E2:Q2)</f>
        <v>137</v>
      </c>
      <c r="S2" s="9">
        <f t="shared" ref="S2:S70" si="2">R2/D2</f>
        <v>12.45454545</v>
      </c>
      <c r="T2" s="6" t="s">
        <v>21</v>
      </c>
    </row>
    <row r="3">
      <c r="A3" s="3">
        <v>2.0</v>
      </c>
      <c r="B3" s="3" t="s">
        <v>22</v>
      </c>
      <c r="C3" s="4">
        <v>90.0</v>
      </c>
      <c r="D3" s="3">
        <v>11.0</v>
      </c>
      <c r="E3" s="5">
        <f>'COURT WHIST'!D33</f>
        <v>0</v>
      </c>
      <c r="F3" s="6">
        <f>BEANBAG!D3</f>
        <v>25</v>
      </c>
      <c r="G3" s="5">
        <f>CRIBBAGE!E29</f>
        <v>0</v>
      </c>
      <c r="H3" s="6">
        <f>VOLLEYBALL!D2</f>
        <v>15</v>
      </c>
      <c r="I3" s="5">
        <v>8.0</v>
      </c>
      <c r="J3" s="6">
        <f>GOLF!D4</f>
        <v>25</v>
      </c>
      <c r="K3" s="5">
        <f>BACKGAMMON!D10</f>
        <v>5</v>
      </c>
      <c r="L3" s="7">
        <v>0.0</v>
      </c>
      <c r="M3" s="5">
        <v>15.0</v>
      </c>
      <c r="N3" s="5">
        <v>5.0</v>
      </c>
      <c r="O3" s="5">
        <v>5.0</v>
      </c>
      <c r="P3" s="6">
        <v>25.0</v>
      </c>
      <c r="Q3" s="7">
        <v>0.0</v>
      </c>
      <c r="R3" s="8">
        <f t="shared" si="1"/>
        <v>128</v>
      </c>
      <c r="S3" s="9">
        <f t="shared" si="2"/>
        <v>11.63636364</v>
      </c>
      <c r="T3" s="5" t="s">
        <v>23</v>
      </c>
    </row>
    <row r="4">
      <c r="A4" s="3">
        <v>3.0</v>
      </c>
      <c r="B4" s="3" t="s">
        <v>24</v>
      </c>
      <c r="C4" s="4">
        <v>85.0</v>
      </c>
      <c r="D4" s="3">
        <v>13.0</v>
      </c>
      <c r="E4" s="5">
        <f>'COURT WHIST'!D14</f>
        <v>3</v>
      </c>
      <c r="F4" s="5">
        <f>BEANBAG!D22</f>
        <v>5</v>
      </c>
      <c r="G4" s="5">
        <f>CRIBBAGE!E26</f>
        <v>1</v>
      </c>
      <c r="H4" s="5">
        <f>VOLLEYBALL!D19</f>
        <v>0</v>
      </c>
      <c r="I4" s="5">
        <v>0.0</v>
      </c>
      <c r="J4" s="5">
        <f>GOLF!D14</f>
        <v>10</v>
      </c>
      <c r="K4" s="6">
        <f>BACKGAMMON!D3</f>
        <v>20</v>
      </c>
      <c r="L4" s="6">
        <v>25.0</v>
      </c>
      <c r="M4" s="6">
        <v>25.0</v>
      </c>
      <c r="N4" s="6">
        <v>15.0</v>
      </c>
      <c r="O4" s="5">
        <v>0.0</v>
      </c>
      <c r="P4" s="5">
        <v>1.0</v>
      </c>
      <c r="Q4" s="5">
        <v>10.0</v>
      </c>
      <c r="R4" s="8">
        <f t="shared" si="1"/>
        <v>115</v>
      </c>
      <c r="S4" s="9">
        <f t="shared" si="2"/>
        <v>8.846153846</v>
      </c>
      <c r="T4" s="3" t="s">
        <v>25</v>
      </c>
    </row>
    <row r="5">
      <c r="A5" s="3">
        <v>4.0</v>
      </c>
      <c r="B5" s="3" t="s">
        <v>26</v>
      </c>
      <c r="C5" s="4">
        <v>75.0</v>
      </c>
      <c r="D5" s="3">
        <v>10.0</v>
      </c>
      <c r="E5" s="6">
        <f>'COURT WHIST'!D2</f>
        <v>25</v>
      </c>
      <c r="F5" s="6">
        <f>BEANBAG!D8</f>
        <v>10</v>
      </c>
      <c r="G5" s="5">
        <f>CRIBBAGE!E25</f>
        <v>1</v>
      </c>
      <c r="H5" s="3">
        <v>0.0</v>
      </c>
      <c r="I5" s="5">
        <v>0.0</v>
      </c>
      <c r="J5" s="5">
        <v>2.0</v>
      </c>
      <c r="K5" s="3">
        <v>0.0</v>
      </c>
      <c r="L5" s="5">
        <v>0.0</v>
      </c>
      <c r="M5" s="6">
        <v>15.0</v>
      </c>
      <c r="N5" s="3">
        <v>0.0</v>
      </c>
      <c r="O5" s="5">
        <v>0.0</v>
      </c>
      <c r="P5" s="5">
        <v>1.0</v>
      </c>
      <c r="Q5" s="6">
        <v>25.0</v>
      </c>
      <c r="R5" s="8">
        <f t="shared" si="1"/>
        <v>79</v>
      </c>
      <c r="S5" s="9">
        <f t="shared" si="2"/>
        <v>7.9</v>
      </c>
    </row>
    <row r="6">
      <c r="A6" s="3" t="s">
        <v>27</v>
      </c>
      <c r="B6" s="3" t="s">
        <v>28</v>
      </c>
      <c r="C6" s="4">
        <v>70.0</v>
      </c>
      <c r="D6" s="3">
        <v>12.0</v>
      </c>
      <c r="E6" s="5">
        <f>'COURT WHIST'!D31</f>
        <v>1</v>
      </c>
      <c r="F6" s="6">
        <f>BEANBAG!D4</f>
        <v>20</v>
      </c>
      <c r="G6" s="5">
        <f>CRIBBAGE!E19</f>
        <v>2</v>
      </c>
      <c r="H6" s="6">
        <f>VOLLEYBALL!D4</f>
        <v>15</v>
      </c>
      <c r="I6" s="6">
        <v>15.0</v>
      </c>
      <c r="J6" s="5">
        <f>GOLF!D13</f>
        <v>15</v>
      </c>
      <c r="K6" s="5">
        <f>BACKGAMMON!D32</f>
        <v>0</v>
      </c>
      <c r="L6" s="5">
        <v>0.0</v>
      </c>
      <c r="M6" s="5">
        <v>5.0</v>
      </c>
      <c r="N6" s="6">
        <v>20.0</v>
      </c>
      <c r="O6" s="7">
        <v>0.0</v>
      </c>
      <c r="P6" s="5">
        <v>1.0</v>
      </c>
      <c r="Q6" s="5">
        <v>6.0</v>
      </c>
      <c r="R6" s="8">
        <f t="shared" si="1"/>
        <v>100</v>
      </c>
      <c r="S6" s="9">
        <f t="shared" si="2"/>
        <v>8.333333333</v>
      </c>
      <c r="U6" s="10" t="s">
        <v>29</v>
      </c>
    </row>
    <row r="7">
      <c r="A7" s="3" t="s">
        <v>27</v>
      </c>
      <c r="B7" s="3" t="s">
        <v>30</v>
      </c>
      <c r="C7" s="4">
        <v>70.0</v>
      </c>
      <c r="D7" s="3">
        <v>7.0</v>
      </c>
      <c r="E7" s="3">
        <v>0.0</v>
      </c>
      <c r="F7" s="5">
        <f>BEANBAG!D38</f>
        <v>0</v>
      </c>
      <c r="G7" s="6">
        <f>CRIBBAGE!E3</f>
        <v>20</v>
      </c>
      <c r="H7" s="3">
        <v>0.0</v>
      </c>
      <c r="I7" s="5">
        <v>6.0</v>
      </c>
      <c r="J7" s="6">
        <f>GOLF!D6</f>
        <v>20</v>
      </c>
      <c r="K7" s="3">
        <v>0.0</v>
      </c>
      <c r="L7" s="7">
        <v>0.0</v>
      </c>
      <c r="M7" s="5">
        <v>0.0</v>
      </c>
      <c r="N7" s="3">
        <v>0.0</v>
      </c>
      <c r="O7" s="7">
        <v>0.0</v>
      </c>
      <c r="P7" s="6">
        <v>10.0</v>
      </c>
      <c r="Q7" s="6">
        <v>20.0</v>
      </c>
      <c r="R7" s="8">
        <f t="shared" si="1"/>
        <v>76</v>
      </c>
      <c r="S7" s="9">
        <f t="shared" si="2"/>
        <v>10.85714286</v>
      </c>
    </row>
    <row r="8">
      <c r="A8" s="3">
        <v>7.0</v>
      </c>
      <c r="B8" s="3" t="s">
        <v>31</v>
      </c>
      <c r="C8" s="4">
        <v>67.0</v>
      </c>
      <c r="D8" s="3">
        <v>9.0</v>
      </c>
      <c r="E8" s="3">
        <v>0.0</v>
      </c>
      <c r="F8" s="6">
        <f>BEANBAG!D6</f>
        <v>15</v>
      </c>
      <c r="G8" s="3">
        <v>0.0</v>
      </c>
      <c r="H8" s="3">
        <v>0.0</v>
      </c>
      <c r="I8" s="5">
        <v>8.0</v>
      </c>
      <c r="J8" s="5">
        <v>0.0</v>
      </c>
      <c r="K8" s="6">
        <f>BACKGAMMON!D5</f>
        <v>12</v>
      </c>
      <c r="L8" s="7">
        <v>0.0</v>
      </c>
      <c r="M8" s="6">
        <v>25.0</v>
      </c>
      <c r="N8" s="5">
        <v>0.0</v>
      </c>
      <c r="O8" s="5">
        <v>12.0</v>
      </c>
      <c r="P8" s="5">
        <v>0.0</v>
      </c>
      <c r="Q8" s="6">
        <v>15.0</v>
      </c>
      <c r="R8" s="8">
        <f t="shared" si="1"/>
        <v>87</v>
      </c>
      <c r="S8" s="9">
        <f t="shared" si="2"/>
        <v>9.666666667</v>
      </c>
    </row>
    <row r="9">
      <c r="A9" s="3">
        <v>8.0</v>
      </c>
      <c r="B9" s="3" t="s">
        <v>32</v>
      </c>
      <c r="C9" s="4">
        <v>65.0</v>
      </c>
      <c r="D9" s="3">
        <v>13.0</v>
      </c>
      <c r="E9" s="5">
        <f>'COURT WHIST'!D17</f>
        <v>3</v>
      </c>
      <c r="F9" s="5">
        <f>BEANBAG!D14</f>
        <v>5</v>
      </c>
      <c r="G9" s="5">
        <f>CRIBBAGE!E14</f>
        <v>3</v>
      </c>
      <c r="H9" s="5">
        <f>VOLLEYBALL!D7</f>
        <v>10</v>
      </c>
      <c r="I9" s="6">
        <f>KUBB!D3</f>
        <v>25</v>
      </c>
      <c r="J9" s="5">
        <v>2.0</v>
      </c>
      <c r="K9" s="5">
        <f>BACKGAMMON!D24</f>
        <v>0</v>
      </c>
      <c r="L9" s="5">
        <v>2.0</v>
      </c>
      <c r="M9" s="6">
        <v>10.0</v>
      </c>
      <c r="N9" s="5">
        <v>10.0</v>
      </c>
      <c r="O9" s="6">
        <v>15.0</v>
      </c>
      <c r="P9" s="6">
        <v>15.0</v>
      </c>
      <c r="Q9" s="5">
        <v>0.0</v>
      </c>
      <c r="R9" s="8">
        <f t="shared" si="1"/>
        <v>100</v>
      </c>
      <c r="S9" s="9">
        <f t="shared" si="2"/>
        <v>7.692307692</v>
      </c>
    </row>
    <row r="10">
      <c r="A10" s="3" t="s">
        <v>33</v>
      </c>
      <c r="B10" s="3" t="s">
        <v>34</v>
      </c>
      <c r="C10" s="4">
        <v>62.0</v>
      </c>
      <c r="D10" s="3">
        <v>10.0</v>
      </c>
      <c r="E10" s="5">
        <f>'COURT WHIST'!D7</f>
        <v>10.5</v>
      </c>
      <c r="F10" s="6">
        <f>BEANBAG!D5</f>
        <v>20</v>
      </c>
      <c r="G10" s="5">
        <f>CRIBBAGE!E11</f>
        <v>6</v>
      </c>
      <c r="H10" s="6">
        <f>VOLLEYBALL!D5</f>
        <v>15</v>
      </c>
      <c r="I10" s="6">
        <v>12.0</v>
      </c>
      <c r="J10" s="3">
        <v>0.0</v>
      </c>
      <c r="K10" s="5">
        <f>BACKGAMMON!D9</f>
        <v>10</v>
      </c>
      <c r="L10" s="5">
        <v>2.0</v>
      </c>
      <c r="M10" s="6">
        <v>15.0</v>
      </c>
      <c r="N10" s="5">
        <v>0.0</v>
      </c>
      <c r="O10" s="5">
        <v>0.0</v>
      </c>
      <c r="P10" s="7">
        <v>0.0</v>
      </c>
      <c r="Q10" s="7">
        <v>0.0</v>
      </c>
      <c r="R10" s="8">
        <f t="shared" si="1"/>
        <v>90.5</v>
      </c>
      <c r="S10" s="9">
        <f t="shared" si="2"/>
        <v>9.05</v>
      </c>
    </row>
    <row r="11">
      <c r="A11" s="3" t="s">
        <v>33</v>
      </c>
      <c r="B11" s="3" t="s">
        <v>35</v>
      </c>
      <c r="C11" s="4">
        <v>62.0</v>
      </c>
      <c r="D11" s="3">
        <v>8.0</v>
      </c>
      <c r="E11" s="3">
        <v>0.0</v>
      </c>
      <c r="F11" s="6">
        <f>BEANBAG!D7</f>
        <v>15</v>
      </c>
      <c r="G11" s="5">
        <f>CRIBBAGE!E15</f>
        <v>3</v>
      </c>
      <c r="H11" s="3">
        <v>0.0</v>
      </c>
      <c r="I11" s="6">
        <v>12.0</v>
      </c>
      <c r="J11" s="6">
        <f>GOLF!D17</f>
        <v>10</v>
      </c>
      <c r="K11" s="3">
        <v>0.0</v>
      </c>
      <c r="L11" s="5">
        <v>10.0</v>
      </c>
      <c r="M11" s="5">
        <v>0.0</v>
      </c>
      <c r="N11" s="6">
        <v>25.0</v>
      </c>
      <c r="O11" s="7">
        <v>0.0</v>
      </c>
      <c r="P11" s="7">
        <v>0.0</v>
      </c>
      <c r="Q11" s="5">
        <v>0.0</v>
      </c>
      <c r="R11" s="8">
        <f t="shared" si="1"/>
        <v>75</v>
      </c>
      <c r="S11" s="9">
        <f t="shared" si="2"/>
        <v>9.375</v>
      </c>
    </row>
    <row r="12">
      <c r="A12" s="3">
        <v>11.0</v>
      </c>
      <c r="B12" s="3" t="s">
        <v>36</v>
      </c>
      <c r="C12" s="4">
        <v>60.5</v>
      </c>
      <c r="D12" s="3">
        <v>5.0</v>
      </c>
      <c r="E12" s="6">
        <f>'COURT WHIST'!D6</f>
        <v>10.5</v>
      </c>
      <c r="F12" s="6">
        <f>BEANBAG!D25</f>
        <v>5</v>
      </c>
      <c r="G12" s="6">
        <f>CRIBBAGE!E2</f>
        <v>25</v>
      </c>
      <c r="H12" s="5">
        <f>VOLLEYBALL!D11</f>
        <v>5</v>
      </c>
      <c r="I12" s="3">
        <v>0.0</v>
      </c>
      <c r="J12" s="6">
        <f>GOLF!D7</f>
        <v>20</v>
      </c>
      <c r="K12" s="3">
        <v>0.0</v>
      </c>
      <c r="L12" s="7">
        <v>0.0</v>
      </c>
      <c r="M12" s="7">
        <v>0.0</v>
      </c>
      <c r="N12" s="3">
        <v>0.0</v>
      </c>
      <c r="O12" s="7">
        <v>0.0</v>
      </c>
      <c r="P12" s="7">
        <v>0.0</v>
      </c>
      <c r="Q12" s="7">
        <v>0.0</v>
      </c>
      <c r="R12" s="8">
        <f t="shared" si="1"/>
        <v>65.5</v>
      </c>
      <c r="S12" s="9">
        <f t="shared" si="2"/>
        <v>13.1</v>
      </c>
    </row>
    <row r="13">
      <c r="A13" s="3">
        <v>12.0</v>
      </c>
      <c r="B13" s="3" t="s">
        <v>37</v>
      </c>
      <c r="C13" s="4">
        <v>58.33</v>
      </c>
      <c r="D13" s="3">
        <v>12.0</v>
      </c>
      <c r="E13" s="5">
        <f>'COURT WHIST'!D28</f>
        <v>1</v>
      </c>
      <c r="F13" s="5">
        <f>BEANBAG!D41</f>
        <v>0</v>
      </c>
      <c r="G13" s="5">
        <f>CRIBBAGE!E22</f>
        <v>2</v>
      </c>
      <c r="H13" s="5">
        <f>VOLLEYBALL!D21</f>
        <v>0</v>
      </c>
      <c r="I13" s="6">
        <v>20.0</v>
      </c>
      <c r="J13" s="6">
        <f>GOLF!D20</f>
        <v>10</v>
      </c>
      <c r="K13" s="3">
        <v>0.0</v>
      </c>
      <c r="L13" s="6">
        <v>-1.66</v>
      </c>
      <c r="M13" s="6">
        <v>25.0</v>
      </c>
      <c r="N13" s="6">
        <v>5.0</v>
      </c>
      <c r="O13" s="5">
        <v>5.0</v>
      </c>
      <c r="P13" s="5">
        <v>5.0</v>
      </c>
      <c r="Q13" s="5">
        <v>4.0</v>
      </c>
      <c r="R13" s="8">
        <f t="shared" si="1"/>
        <v>75.34</v>
      </c>
      <c r="S13" s="9">
        <f t="shared" si="2"/>
        <v>6.278333333</v>
      </c>
    </row>
    <row r="14">
      <c r="A14" s="3">
        <v>13.0</v>
      </c>
      <c r="B14" s="3" t="s">
        <v>38</v>
      </c>
      <c r="C14" s="4">
        <v>56.0</v>
      </c>
      <c r="D14" s="3">
        <v>6.0</v>
      </c>
      <c r="E14" s="6">
        <f>'COURT WHIST'!D27</f>
        <v>1</v>
      </c>
      <c r="F14" s="5">
        <f>BEANBAG!D33</f>
        <v>0</v>
      </c>
      <c r="G14" s="3">
        <v>0.0</v>
      </c>
      <c r="H14" s="3">
        <v>0.0</v>
      </c>
      <c r="I14" s="3">
        <v>0.0</v>
      </c>
      <c r="J14" s="6">
        <f>GOLF!D2</f>
        <v>25</v>
      </c>
      <c r="K14" s="6">
        <f>BACKGAMMON!D14</f>
        <v>5</v>
      </c>
      <c r="L14" s="7">
        <v>0.0</v>
      </c>
      <c r="M14" s="6">
        <v>25.0</v>
      </c>
      <c r="N14" s="3">
        <v>0.0</v>
      </c>
      <c r="O14" s="5">
        <v>0.0</v>
      </c>
      <c r="P14" s="7">
        <v>0.0</v>
      </c>
      <c r="Q14" s="7">
        <v>0.0</v>
      </c>
      <c r="R14" s="8">
        <f t="shared" si="1"/>
        <v>56</v>
      </c>
      <c r="S14" s="9">
        <f t="shared" si="2"/>
        <v>9.333333333</v>
      </c>
    </row>
    <row r="15">
      <c r="A15" s="3">
        <v>14.0</v>
      </c>
      <c r="B15" s="3" t="s">
        <v>39</v>
      </c>
      <c r="C15" s="4">
        <v>51.0</v>
      </c>
      <c r="D15" s="3">
        <v>8.0</v>
      </c>
      <c r="E15" s="6">
        <f>'COURT WHIST'!D29</f>
        <v>1</v>
      </c>
      <c r="F15" s="6">
        <f>BEANBAG!D2</f>
        <v>25</v>
      </c>
      <c r="G15" s="3">
        <v>0.0</v>
      </c>
      <c r="H15" s="3">
        <v>0.0</v>
      </c>
      <c r="I15" s="5">
        <v>0.0</v>
      </c>
      <c r="J15" s="3">
        <v>0.0</v>
      </c>
      <c r="K15" s="5">
        <f>BACKGAMMON!D29</f>
        <v>0</v>
      </c>
      <c r="L15" s="7">
        <v>0.0</v>
      </c>
      <c r="M15" s="6">
        <v>5.0</v>
      </c>
      <c r="N15" s="5">
        <v>0.0</v>
      </c>
      <c r="O15" s="5">
        <v>0.0</v>
      </c>
      <c r="P15" s="6">
        <v>20.0</v>
      </c>
      <c r="Q15" s="7">
        <v>0.0</v>
      </c>
      <c r="R15" s="8">
        <f t="shared" si="1"/>
        <v>51</v>
      </c>
      <c r="S15" s="9">
        <f t="shared" si="2"/>
        <v>6.375</v>
      </c>
    </row>
    <row r="16">
      <c r="A16" s="3">
        <v>15.0</v>
      </c>
      <c r="B16" s="3" t="s">
        <v>40</v>
      </c>
      <c r="C16" s="4">
        <v>50.0</v>
      </c>
      <c r="D16" s="3">
        <v>8.0</v>
      </c>
      <c r="E16" s="5">
        <f>'COURT WHIST'!D23</f>
        <v>2</v>
      </c>
      <c r="F16" s="5">
        <f>BEANBAG!D48</f>
        <v>0</v>
      </c>
      <c r="G16" s="5">
        <f>CRIBBAGE!E13</f>
        <v>4</v>
      </c>
      <c r="H16" s="6">
        <f>VOLLEYBALL!D3</f>
        <v>15</v>
      </c>
      <c r="I16" s="5">
        <v>0.0</v>
      </c>
      <c r="J16" s="3">
        <v>0.0</v>
      </c>
      <c r="K16" s="6">
        <f>BACKGAMMON!D11</f>
        <v>5</v>
      </c>
      <c r="L16" s="7">
        <v>0.0</v>
      </c>
      <c r="M16" s="6">
        <v>20.0</v>
      </c>
      <c r="N16" s="3">
        <v>0.0</v>
      </c>
      <c r="O16" s="6">
        <v>10.0</v>
      </c>
      <c r="P16" s="7">
        <v>0.0</v>
      </c>
      <c r="Q16" s="7">
        <v>0.0</v>
      </c>
      <c r="R16" s="8">
        <f t="shared" si="1"/>
        <v>56</v>
      </c>
      <c r="S16" s="9">
        <f t="shared" si="2"/>
        <v>7</v>
      </c>
    </row>
    <row r="17">
      <c r="A17" s="3" t="s">
        <v>41</v>
      </c>
      <c r="B17" s="3" t="s">
        <v>42</v>
      </c>
      <c r="C17" s="4">
        <v>47.0</v>
      </c>
      <c r="D17" s="3">
        <v>7.0</v>
      </c>
      <c r="E17" s="6">
        <f>'COURT WHIST'!D22</f>
        <v>2</v>
      </c>
      <c r="F17" s="6">
        <f>BEANBAG!D16</f>
        <v>5</v>
      </c>
      <c r="G17" s="5">
        <f>CRIBBAGE!E20</f>
        <v>2</v>
      </c>
      <c r="H17" s="5">
        <f>VOLLEYBALL!D17</f>
        <v>2</v>
      </c>
      <c r="I17" s="6">
        <v>15.0</v>
      </c>
      <c r="J17" s="6">
        <f>GOLF!D5</f>
        <v>25</v>
      </c>
      <c r="K17" s="5">
        <f>BACKGAMMON!D27</f>
        <v>0</v>
      </c>
      <c r="L17" s="7">
        <v>0.0</v>
      </c>
      <c r="M17" s="7">
        <v>0.0</v>
      </c>
      <c r="N17" s="3">
        <v>0.0</v>
      </c>
      <c r="O17" s="7">
        <v>0.0</v>
      </c>
      <c r="P17" s="7">
        <v>0.0</v>
      </c>
      <c r="Q17" s="7">
        <v>0.0</v>
      </c>
      <c r="R17" s="8">
        <f t="shared" si="1"/>
        <v>51</v>
      </c>
      <c r="S17" s="9">
        <f t="shared" si="2"/>
        <v>7.285714286</v>
      </c>
    </row>
    <row r="18">
      <c r="A18" s="3" t="s">
        <v>41</v>
      </c>
      <c r="B18" s="3" t="s">
        <v>43</v>
      </c>
      <c r="C18" s="4">
        <v>47.0</v>
      </c>
      <c r="D18" s="3">
        <v>8.0</v>
      </c>
      <c r="E18" s="5">
        <f>'COURT WHIST'!D24</f>
        <v>2</v>
      </c>
      <c r="F18" s="5">
        <f>BEANBAG!D28</f>
        <v>0</v>
      </c>
      <c r="G18" s="6">
        <f>CRIBBAGE!E10</f>
        <v>7</v>
      </c>
      <c r="H18" s="3">
        <v>0.0</v>
      </c>
      <c r="I18" s="3">
        <v>0.0</v>
      </c>
      <c r="J18" s="3">
        <v>0.0</v>
      </c>
      <c r="K18" s="3">
        <v>0.0</v>
      </c>
      <c r="L18" s="6">
        <v>20.0</v>
      </c>
      <c r="M18" s="6">
        <v>5.0</v>
      </c>
      <c r="N18" s="6">
        <v>15.0</v>
      </c>
      <c r="O18" s="5">
        <v>0.0</v>
      </c>
      <c r="P18" s="7">
        <v>0.0</v>
      </c>
      <c r="Q18" s="5">
        <v>0.0</v>
      </c>
      <c r="R18" s="8">
        <f t="shared" si="1"/>
        <v>49</v>
      </c>
      <c r="S18" s="9">
        <f t="shared" si="2"/>
        <v>6.125</v>
      </c>
    </row>
    <row r="19">
      <c r="A19" s="3">
        <v>18.0</v>
      </c>
      <c r="B19" s="3" t="s">
        <v>44</v>
      </c>
      <c r="C19" s="4">
        <v>45.0</v>
      </c>
      <c r="D19" s="3">
        <v>2.0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11">
        <f>GOLF!D9</f>
        <v>20</v>
      </c>
      <c r="K19" s="11">
        <f>BACKGAMMON!D2</f>
        <v>25</v>
      </c>
      <c r="L19" s="7">
        <v>0.0</v>
      </c>
      <c r="M19" s="7">
        <v>0.0</v>
      </c>
      <c r="N19" s="3">
        <v>0.0</v>
      </c>
      <c r="O19" s="7">
        <v>0.0</v>
      </c>
      <c r="P19" s="7">
        <v>0.0</v>
      </c>
      <c r="Q19" s="7">
        <v>0.0</v>
      </c>
      <c r="R19" s="8">
        <f t="shared" si="1"/>
        <v>45</v>
      </c>
      <c r="S19" s="9">
        <f t="shared" si="2"/>
        <v>22.5</v>
      </c>
    </row>
    <row r="20">
      <c r="A20" s="3">
        <v>19.0</v>
      </c>
      <c r="B20" s="3" t="s">
        <v>45</v>
      </c>
      <c r="C20" s="4">
        <v>44.5</v>
      </c>
      <c r="D20" s="3">
        <v>6.0</v>
      </c>
      <c r="E20" s="6">
        <f>'COURT WHIST'!D3</f>
        <v>17.5</v>
      </c>
      <c r="F20" s="6">
        <f>BEANBAG!D18</f>
        <v>5</v>
      </c>
      <c r="G20" s="5">
        <f>CRIBBAGE!E28</f>
        <v>1</v>
      </c>
      <c r="H20" s="6">
        <f>VOLLEYBALL!D16</f>
        <v>2</v>
      </c>
      <c r="I20" s="6">
        <v>20.0</v>
      </c>
      <c r="J20" s="5">
        <v>0.0</v>
      </c>
      <c r="K20" s="3">
        <v>0.0</v>
      </c>
      <c r="L20" s="7">
        <v>0.0</v>
      </c>
      <c r="M20" s="7">
        <v>0.0</v>
      </c>
      <c r="N20" s="3">
        <v>0.0</v>
      </c>
      <c r="O20" s="7">
        <v>0.0</v>
      </c>
      <c r="P20" s="7">
        <v>0.0</v>
      </c>
      <c r="Q20" s="7">
        <v>0.0</v>
      </c>
      <c r="R20" s="8">
        <f t="shared" si="1"/>
        <v>45.5</v>
      </c>
      <c r="S20" s="9">
        <f t="shared" si="2"/>
        <v>7.583333333</v>
      </c>
    </row>
    <row r="21">
      <c r="A21" s="3" t="s">
        <v>46</v>
      </c>
      <c r="B21" s="3" t="s">
        <v>47</v>
      </c>
      <c r="C21" s="4">
        <v>43.0</v>
      </c>
      <c r="D21" s="3">
        <v>5.0</v>
      </c>
      <c r="E21" s="6">
        <f>'COURT WHIST'!D15</f>
        <v>3</v>
      </c>
      <c r="F21" s="5">
        <f>BEANBAG!D45</f>
        <v>0</v>
      </c>
      <c r="G21" s="6">
        <f>CRIBBAGE!E7</f>
        <v>10</v>
      </c>
      <c r="H21" s="6">
        <f>VOLLEYBALL!D13</f>
        <v>5</v>
      </c>
      <c r="I21" s="6">
        <f>KUBB!D4</f>
        <v>25</v>
      </c>
      <c r="J21" s="3">
        <v>0.0</v>
      </c>
      <c r="K21" s="3">
        <v>0.0</v>
      </c>
      <c r="L21" s="7">
        <v>0.0</v>
      </c>
      <c r="M21" s="7">
        <v>0.0</v>
      </c>
      <c r="N21" s="3">
        <v>0.0</v>
      </c>
      <c r="O21" s="7">
        <v>0.0</v>
      </c>
      <c r="P21" s="7">
        <v>0.0</v>
      </c>
      <c r="Q21" s="7">
        <v>0.0</v>
      </c>
      <c r="R21" s="8">
        <f t="shared" si="1"/>
        <v>43</v>
      </c>
      <c r="S21" s="9">
        <f t="shared" si="2"/>
        <v>8.6</v>
      </c>
    </row>
    <row r="22">
      <c r="A22" s="3" t="s">
        <v>46</v>
      </c>
      <c r="B22" s="3" t="s">
        <v>48</v>
      </c>
      <c r="C22" s="4">
        <v>43.0</v>
      </c>
      <c r="D22" s="3">
        <v>6.0</v>
      </c>
      <c r="E22" s="6">
        <f>'COURT WHIST'!D16</f>
        <v>3</v>
      </c>
      <c r="F22" s="5">
        <f>BEANBAG!D30</f>
        <v>0</v>
      </c>
      <c r="G22" s="3">
        <v>0.0</v>
      </c>
      <c r="H22" s="3">
        <v>0.0</v>
      </c>
      <c r="I22" s="5">
        <v>0.0</v>
      </c>
      <c r="J22" s="6">
        <f>GOLF!D18</f>
        <v>10</v>
      </c>
      <c r="K22" s="3">
        <v>0.0</v>
      </c>
      <c r="L22" s="7">
        <v>0.0</v>
      </c>
      <c r="M22" s="6">
        <v>10.0</v>
      </c>
      <c r="N22" s="6">
        <v>20.0</v>
      </c>
      <c r="O22" s="7">
        <v>0.0</v>
      </c>
      <c r="P22" s="7">
        <v>0.0</v>
      </c>
      <c r="Q22" s="7">
        <v>0.0</v>
      </c>
      <c r="R22" s="8">
        <f t="shared" si="1"/>
        <v>43</v>
      </c>
      <c r="S22" s="9">
        <f t="shared" si="2"/>
        <v>7.166666667</v>
      </c>
    </row>
    <row r="23">
      <c r="A23" s="3">
        <v>22.0</v>
      </c>
      <c r="B23" s="3" t="s">
        <v>49</v>
      </c>
      <c r="C23" s="4">
        <v>41.0</v>
      </c>
      <c r="D23" s="3">
        <v>4.0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11">
        <f>GOLF!D10</f>
        <v>15</v>
      </c>
      <c r="K23" s="3">
        <v>0.0</v>
      </c>
      <c r="L23" s="6">
        <v>1.0</v>
      </c>
      <c r="M23" s="7">
        <v>0.0</v>
      </c>
      <c r="N23" s="6">
        <v>5.0</v>
      </c>
      <c r="O23" s="7">
        <v>0.0</v>
      </c>
      <c r="P23" s="6">
        <v>20.0</v>
      </c>
      <c r="Q23" s="7">
        <v>0.0</v>
      </c>
      <c r="R23" s="8">
        <f t="shared" si="1"/>
        <v>41</v>
      </c>
      <c r="S23" s="9">
        <f t="shared" si="2"/>
        <v>10.25</v>
      </c>
    </row>
    <row r="24">
      <c r="A24" s="3" t="s">
        <v>50</v>
      </c>
      <c r="B24" s="3" t="s">
        <v>51</v>
      </c>
      <c r="C24" s="4">
        <v>38.0</v>
      </c>
      <c r="D24" s="3">
        <v>8.0</v>
      </c>
      <c r="E24" s="5">
        <f>'COURT WHIST'!D35</f>
        <v>0</v>
      </c>
      <c r="F24" s="5">
        <f>BEANBAG!D40</f>
        <v>0</v>
      </c>
      <c r="G24" s="6">
        <f>CRIBBAGE!E18</f>
        <v>3</v>
      </c>
      <c r="H24" s="6">
        <f>VOLLEYBALL!D8</f>
        <v>10</v>
      </c>
      <c r="I24" s="6">
        <v>20.0</v>
      </c>
      <c r="J24" s="3">
        <v>0.0</v>
      </c>
      <c r="K24" s="3">
        <v>0.0</v>
      </c>
      <c r="L24" s="7">
        <v>0.0</v>
      </c>
      <c r="M24" s="6">
        <v>5.0</v>
      </c>
      <c r="N24" s="5">
        <v>0.0</v>
      </c>
      <c r="O24" s="5">
        <v>0.0</v>
      </c>
      <c r="P24" s="7">
        <v>0.0</v>
      </c>
      <c r="Q24" s="7">
        <v>0.0</v>
      </c>
      <c r="R24" s="8">
        <f t="shared" si="1"/>
        <v>38</v>
      </c>
      <c r="S24" s="9">
        <f t="shared" si="2"/>
        <v>4.75</v>
      </c>
    </row>
    <row r="25">
      <c r="A25" s="3" t="s">
        <v>50</v>
      </c>
      <c r="B25" s="3" t="s">
        <v>52</v>
      </c>
      <c r="C25" s="4">
        <v>38.0</v>
      </c>
      <c r="D25" s="3">
        <v>8.0</v>
      </c>
      <c r="E25" s="5">
        <f>'COURT WHIST'!D18</f>
        <v>3</v>
      </c>
      <c r="F25" s="5">
        <f>BEANBAG!D27</f>
        <v>0</v>
      </c>
      <c r="G25" s="3">
        <v>0.0</v>
      </c>
      <c r="H25" s="3">
        <v>0.0</v>
      </c>
      <c r="I25" s="5">
        <v>0.0</v>
      </c>
      <c r="J25" s="3">
        <v>0.0</v>
      </c>
      <c r="K25" s="6">
        <f>BACKGAMMON!D17</f>
        <v>5</v>
      </c>
      <c r="L25" s="6">
        <v>8.0</v>
      </c>
      <c r="M25" s="6">
        <v>20.0</v>
      </c>
      <c r="N25" s="6">
        <v>5.0</v>
      </c>
      <c r="O25" s="5">
        <v>0.0</v>
      </c>
      <c r="P25" s="7">
        <v>0.0</v>
      </c>
      <c r="Q25" s="7">
        <v>0.0</v>
      </c>
      <c r="R25" s="8">
        <f t="shared" si="1"/>
        <v>41</v>
      </c>
      <c r="S25" s="9">
        <f t="shared" si="2"/>
        <v>5.125</v>
      </c>
    </row>
    <row r="26">
      <c r="A26" s="3">
        <v>25.0</v>
      </c>
      <c r="B26" s="3" t="s">
        <v>53</v>
      </c>
      <c r="C26" s="4">
        <v>37.0</v>
      </c>
      <c r="D26" s="3">
        <v>6.0</v>
      </c>
      <c r="E26" s="5">
        <f>'COURT WHIST'!D34</f>
        <v>0</v>
      </c>
      <c r="F26" s="6">
        <f>BEANBAG!D12</f>
        <v>10</v>
      </c>
      <c r="G26" s="6">
        <f>CRIBBAGE!E4</f>
        <v>15</v>
      </c>
      <c r="H26" s="6">
        <f>VOLLEYBALL!D9</f>
        <v>10</v>
      </c>
      <c r="I26" s="5">
        <v>0.0</v>
      </c>
      <c r="J26" s="6">
        <v>2.0</v>
      </c>
      <c r="K26" s="3">
        <v>0.0</v>
      </c>
      <c r="L26" s="7">
        <v>0.0</v>
      </c>
      <c r="M26" s="7">
        <v>0.0</v>
      </c>
      <c r="N26" s="3">
        <v>0.0</v>
      </c>
      <c r="O26" s="7">
        <v>0.0</v>
      </c>
      <c r="P26" s="7">
        <v>0.0</v>
      </c>
      <c r="Q26" s="7">
        <v>0.0</v>
      </c>
      <c r="R26" s="8">
        <f t="shared" si="1"/>
        <v>37</v>
      </c>
      <c r="S26" s="9">
        <f t="shared" si="2"/>
        <v>6.166666667</v>
      </c>
    </row>
    <row r="27">
      <c r="A27" s="3" t="s">
        <v>54</v>
      </c>
      <c r="B27" s="3" t="s">
        <v>55</v>
      </c>
      <c r="C27" s="4">
        <v>36.0</v>
      </c>
      <c r="D27" s="3">
        <v>6.0</v>
      </c>
      <c r="E27" s="6">
        <f>'COURT WHIST'!D5</f>
        <v>12</v>
      </c>
      <c r="F27" s="5">
        <f>BEANBAG!D49</f>
        <v>0</v>
      </c>
      <c r="G27" s="6">
        <f>CRIBBAGE!E17</f>
        <v>3</v>
      </c>
      <c r="H27" s="3">
        <v>0.0</v>
      </c>
      <c r="I27" s="5">
        <v>0.0</v>
      </c>
      <c r="J27" s="3">
        <v>0.0</v>
      </c>
      <c r="K27" s="6">
        <f>BACKGAMMON!D6</f>
        <v>11</v>
      </c>
      <c r="L27" s="7">
        <v>0.0</v>
      </c>
      <c r="M27" s="6">
        <v>10.0</v>
      </c>
      <c r="N27" s="3">
        <v>0.0</v>
      </c>
      <c r="O27" s="7">
        <v>0.0</v>
      </c>
      <c r="P27" s="7">
        <v>0.0</v>
      </c>
      <c r="Q27" s="7">
        <v>0.0</v>
      </c>
      <c r="R27" s="8">
        <f t="shared" si="1"/>
        <v>36</v>
      </c>
      <c r="S27" s="9">
        <f t="shared" si="2"/>
        <v>6</v>
      </c>
    </row>
    <row r="28">
      <c r="A28" s="3" t="s">
        <v>54</v>
      </c>
      <c r="B28" s="3" t="s">
        <v>56</v>
      </c>
      <c r="C28" s="4">
        <v>36.0</v>
      </c>
      <c r="D28" s="3">
        <v>8.0</v>
      </c>
      <c r="E28" s="3">
        <v>0.0</v>
      </c>
      <c r="F28" s="6">
        <f>BEANBAG!D20</f>
        <v>5</v>
      </c>
      <c r="G28" s="6">
        <f>CRIBBAGE!E9</f>
        <v>8</v>
      </c>
      <c r="H28" s="5">
        <f>VOLLEYBALL!D18</f>
        <v>0</v>
      </c>
      <c r="I28" s="5">
        <v>0.0</v>
      </c>
      <c r="J28" s="3">
        <v>0.0</v>
      </c>
      <c r="K28" s="5">
        <f>BACKGAMMON!D20</f>
        <v>0</v>
      </c>
      <c r="L28" s="7">
        <v>0.0</v>
      </c>
      <c r="M28" s="6">
        <v>20.0</v>
      </c>
      <c r="N28" s="5">
        <v>0.0</v>
      </c>
      <c r="O28" s="6">
        <v>3.0</v>
      </c>
      <c r="P28" s="7">
        <v>0.0</v>
      </c>
      <c r="Q28" s="7">
        <v>0.0</v>
      </c>
      <c r="R28" s="8">
        <f t="shared" si="1"/>
        <v>36</v>
      </c>
      <c r="S28" s="9">
        <f t="shared" si="2"/>
        <v>4.5</v>
      </c>
    </row>
    <row r="29">
      <c r="A29" s="3">
        <v>28.0</v>
      </c>
      <c r="B29" s="3" t="s">
        <v>57</v>
      </c>
      <c r="C29" s="4">
        <v>34.0</v>
      </c>
      <c r="D29" s="3">
        <v>7.0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11">
        <f>GOLF!D11</f>
        <v>15</v>
      </c>
      <c r="K29" s="12">
        <f>BACKGAMMON!D23</f>
        <v>0</v>
      </c>
      <c r="L29" s="7">
        <v>0.0</v>
      </c>
      <c r="M29" s="5">
        <v>0.0</v>
      </c>
      <c r="N29" s="6">
        <v>10.0</v>
      </c>
      <c r="O29" s="5">
        <v>3.0</v>
      </c>
      <c r="P29" s="6">
        <v>5.0</v>
      </c>
      <c r="Q29" s="6">
        <v>4.0</v>
      </c>
      <c r="R29" s="8">
        <f t="shared" si="1"/>
        <v>37</v>
      </c>
      <c r="S29" s="9">
        <f t="shared" si="2"/>
        <v>5.285714286</v>
      </c>
    </row>
    <row r="30">
      <c r="A30" s="3">
        <v>29.0</v>
      </c>
      <c r="B30" s="3" t="s">
        <v>58</v>
      </c>
      <c r="C30" s="4">
        <v>32.0</v>
      </c>
      <c r="D30" s="3">
        <v>11.0</v>
      </c>
      <c r="E30" s="5">
        <f>'COURT WHIST'!D25</f>
        <v>2</v>
      </c>
      <c r="F30" s="6">
        <f>BEANBAG!D9</f>
        <v>10</v>
      </c>
      <c r="G30" s="5">
        <f>CRIBBAGE!E24</f>
        <v>1</v>
      </c>
      <c r="H30" s="3">
        <v>0.0</v>
      </c>
      <c r="I30" s="5">
        <v>0.0</v>
      </c>
      <c r="J30" s="5">
        <v>2.0</v>
      </c>
      <c r="K30" s="5">
        <f>BACKGAMMON!D28</f>
        <v>0</v>
      </c>
      <c r="L30" s="5">
        <v>1.0</v>
      </c>
      <c r="M30" s="7">
        <v>0.0</v>
      </c>
      <c r="N30" s="5">
        <v>0.0</v>
      </c>
      <c r="O30" s="6">
        <v>5.0</v>
      </c>
      <c r="P30" s="6">
        <v>10.0</v>
      </c>
      <c r="Q30" s="6">
        <v>7.0</v>
      </c>
      <c r="R30" s="8">
        <f t="shared" si="1"/>
        <v>38</v>
      </c>
      <c r="S30" s="9">
        <f t="shared" si="2"/>
        <v>3.454545455</v>
      </c>
    </row>
    <row r="31">
      <c r="A31" s="3">
        <v>30.0</v>
      </c>
      <c r="B31" s="3" t="s">
        <v>59</v>
      </c>
      <c r="C31" s="4">
        <v>30.33</v>
      </c>
      <c r="D31" s="3">
        <v>9.0</v>
      </c>
      <c r="E31" s="6">
        <f>'COURT WHIST'!D8</f>
        <v>9</v>
      </c>
      <c r="F31" s="3">
        <f>BEANBAG!D34</f>
        <v>0</v>
      </c>
      <c r="G31" s="6">
        <f>CRIBBAGE!E16</f>
        <v>3</v>
      </c>
      <c r="H31" s="6">
        <v>0.0</v>
      </c>
      <c r="I31" s="3">
        <v>0.0</v>
      </c>
      <c r="J31" s="3">
        <v>0.0</v>
      </c>
      <c r="K31" s="5">
        <f>BACKGAMMON!D26</f>
        <v>0</v>
      </c>
      <c r="L31" s="6">
        <v>-1.66</v>
      </c>
      <c r="M31" s="5">
        <v>0.0</v>
      </c>
      <c r="N31" s="5">
        <v>0.0</v>
      </c>
      <c r="O31" s="6">
        <v>20.0</v>
      </c>
      <c r="P31" s="7">
        <v>0.0</v>
      </c>
      <c r="Q31" s="5">
        <v>0.0</v>
      </c>
      <c r="R31" s="8">
        <f t="shared" si="1"/>
        <v>30.34</v>
      </c>
      <c r="S31" s="9">
        <f t="shared" si="2"/>
        <v>3.371111111</v>
      </c>
    </row>
    <row r="32">
      <c r="A32" s="3">
        <v>31.0</v>
      </c>
      <c r="B32" s="3" t="s">
        <v>60</v>
      </c>
      <c r="C32" s="4">
        <v>28.5</v>
      </c>
      <c r="D32" s="3">
        <v>7.0</v>
      </c>
      <c r="E32" s="6">
        <f>'COURT WHIST'!D13</f>
        <v>4.5</v>
      </c>
      <c r="F32" s="5">
        <f>BEANBAG!D46</f>
        <v>0</v>
      </c>
      <c r="G32" s="6">
        <f>CRIBBAGE!E5</f>
        <v>12</v>
      </c>
      <c r="H32" s="5">
        <f>VOLLEYBALL!D20</f>
        <v>0</v>
      </c>
      <c r="I32" s="5">
        <v>0.0</v>
      </c>
      <c r="J32" s="6">
        <v>2.0</v>
      </c>
      <c r="K32" s="6">
        <f>BACKGAMMON!D8</f>
        <v>10</v>
      </c>
      <c r="L32" s="7">
        <v>0.0</v>
      </c>
      <c r="M32" s="7">
        <v>0.0</v>
      </c>
      <c r="N32" s="3">
        <v>0.0</v>
      </c>
      <c r="O32" s="7">
        <v>0.0</v>
      </c>
      <c r="P32" s="7">
        <v>0.0</v>
      </c>
      <c r="Q32" s="7">
        <v>0.0</v>
      </c>
      <c r="R32" s="8">
        <f t="shared" si="1"/>
        <v>28.5</v>
      </c>
      <c r="S32" s="9">
        <f t="shared" si="2"/>
        <v>4.071428571</v>
      </c>
    </row>
    <row r="33">
      <c r="A33" s="3" t="s">
        <v>61</v>
      </c>
      <c r="B33" s="3" t="s">
        <v>62</v>
      </c>
      <c r="C33" s="4">
        <v>25.0</v>
      </c>
      <c r="D33" s="3">
        <v>2.0</v>
      </c>
      <c r="E33" s="3">
        <v>0.0</v>
      </c>
      <c r="F33" s="6">
        <v>0.0</v>
      </c>
      <c r="G33" s="3">
        <v>0.0</v>
      </c>
      <c r="H33" s="3">
        <v>0.0</v>
      </c>
      <c r="I33" s="6">
        <f>KUBB!D2</f>
        <v>25</v>
      </c>
      <c r="J33" s="3">
        <v>0.0</v>
      </c>
      <c r="K33" s="3">
        <v>0.0</v>
      </c>
      <c r="L33" s="7">
        <v>0.0</v>
      </c>
      <c r="M33" s="7">
        <v>0.0</v>
      </c>
      <c r="N33" s="3">
        <v>0.0</v>
      </c>
      <c r="O33" s="7">
        <v>0.0</v>
      </c>
      <c r="P33" s="7">
        <v>0.0</v>
      </c>
      <c r="Q33" s="7">
        <v>0.0</v>
      </c>
      <c r="R33" s="8">
        <f t="shared" si="1"/>
        <v>25</v>
      </c>
      <c r="S33" s="9">
        <f t="shared" si="2"/>
        <v>12.5</v>
      </c>
    </row>
    <row r="34">
      <c r="A34" s="3" t="s">
        <v>61</v>
      </c>
      <c r="B34" s="3" t="s">
        <v>63</v>
      </c>
      <c r="C34" s="4">
        <v>25.0</v>
      </c>
      <c r="D34" s="3">
        <v>8.0</v>
      </c>
      <c r="E34" s="3">
        <v>0.0</v>
      </c>
      <c r="F34" s="6">
        <f>BEANBAG!D15</f>
        <v>5</v>
      </c>
      <c r="G34" s="3">
        <v>0.0</v>
      </c>
      <c r="H34" s="3">
        <v>0.0</v>
      </c>
      <c r="I34" s="6">
        <v>15.0</v>
      </c>
      <c r="J34" s="3">
        <v>0.0</v>
      </c>
      <c r="K34" s="6">
        <f>BACKGAMMON!D33</f>
        <v>0</v>
      </c>
      <c r="L34" s="7">
        <v>0.0</v>
      </c>
      <c r="M34" s="6">
        <v>5.0</v>
      </c>
      <c r="N34" s="5">
        <v>0.0</v>
      </c>
      <c r="O34" s="5">
        <v>0.0</v>
      </c>
      <c r="P34" s="5">
        <v>0.0</v>
      </c>
      <c r="Q34" s="5">
        <v>0.0</v>
      </c>
      <c r="R34" s="8">
        <f t="shared" si="1"/>
        <v>25</v>
      </c>
      <c r="S34" s="9">
        <f t="shared" si="2"/>
        <v>3.125</v>
      </c>
    </row>
    <row r="35">
      <c r="A35" s="3" t="s">
        <v>61</v>
      </c>
      <c r="B35" s="3" t="s">
        <v>64</v>
      </c>
      <c r="C35" s="4">
        <v>25.0</v>
      </c>
      <c r="D35" s="3">
        <v>2.0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6">
        <v>0.0</v>
      </c>
      <c r="K35" s="3">
        <v>0.0</v>
      </c>
      <c r="L35" s="7">
        <v>0.0</v>
      </c>
      <c r="M35" s="7">
        <v>0.0</v>
      </c>
      <c r="N35" s="3">
        <v>0.0</v>
      </c>
      <c r="O35" s="7">
        <v>0.0</v>
      </c>
      <c r="P35" s="6">
        <v>25.0</v>
      </c>
      <c r="Q35" s="7">
        <v>0.0</v>
      </c>
      <c r="R35" s="8">
        <f t="shared" si="1"/>
        <v>25</v>
      </c>
      <c r="S35" s="9">
        <f t="shared" si="2"/>
        <v>12.5</v>
      </c>
    </row>
    <row r="36">
      <c r="A36" s="3">
        <v>35.0</v>
      </c>
      <c r="B36" s="3" t="s">
        <v>65</v>
      </c>
      <c r="C36" s="4">
        <v>24.84</v>
      </c>
      <c r="D36" s="3">
        <v>11.0</v>
      </c>
      <c r="E36" s="6">
        <f>'COURT WHIST'!D37</f>
        <v>-2.5</v>
      </c>
      <c r="F36" s="6">
        <f>BEANBAG!D21</f>
        <v>5</v>
      </c>
      <c r="G36" s="6">
        <f>CRIBBAGE!E33</f>
        <v>-5</v>
      </c>
      <c r="H36" s="5">
        <f>VOLLEYBALL!D14</f>
        <v>2</v>
      </c>
      <c r="I36" s="5">
        <v>0.0</v>
      </c>
      <c r="J36" s="5">
        <v>0.0</v>
      </c>
      <c r="K36" s="6">
        <f>BACKGAMMON!D13</f>
        <v>5</v>
      </c>
      <c r="L36" s="6">
        <v>-1.66</v>
      </c>
      <c r="M36" s="6">
        <v>10.0</v>
      </c>
      <c r="N36" s="5">
        <v>5.0</v>
      </c>
      <c r="O36" s="7">
        <v>0.0</v>
      </c>
      <c r="P36" s="7">
        <v>0.0</v>
      </c>
      <c r="Q36" s="6">
        <v>12.0</v>
      </c>
      <c r="R36" s="8">
        <f t="shared" si="1"/>
        <v>29.84</v>
      </c>
      <c r="S36" s="9">
        <f t="shared" si="2"/>
        <v>2.712727273</v>
      </c>
    </row>
    <row r="37">
      <c r="A37" s="3" t="s">
        <v>66</v>
      </c>
      <c r="B37" s="3" t="s">
        <v>67</v>
      </c>
      <c r="C37" s="4">
        <f t="shared" ref="C37:C38" si="3">SUM(E37:H37)</f>
        <v>23.5</v>
      </c>
      <c r="D37" s="3">
        <v>5.0</v>
      </c>
      <c r="E37" s="6">
        <f>'COURT WHIST'!D12</f>
        <v>4.5</v>
      </c>
      <c r="F37" s="6">
        <f>BEANBAG!D11</f>
        <v>10</v>
      </c>
      <c r="G37" s="6">
        <f>CRIBBAGE!E8</f>
        <v>9</v>
      </c>
      <c r="H37" s="3">
        <v>0.0</v>
      </c>
      <c r="I37" s="6">
        <v>0.0</v>
      </c>
      <c r="J37" s="3">
        <v>0.0</v>
      </c>
      <c r="K37" s="5">
        <f>BACKGAMMON!D31</f>
        <v>0</v>
      </c>
      <c r="L37" s="7">
        <v>0.0</v>
      </c>
      <c r="M37" s="7">
        <v>0.0</v>
      </c>
      <c r="N37" s="3">
        <v>0.0</v>
      </c>
      <c r="O37" s="7">
        <v>0.0</v>
      </c>
      <c r="P37" s="7">
        <v>0.0</v>
      </c>
      <c r="Q37" s="7">
        <v>0.0</v>
      </c>
      <c r="R37" s="8">
        <f t="shared" si="1"/>
        <v>23.5</v>
      </c>
      <c r="S37" s="9">
        <f t="shared" si="2"/>
        <v>4.7</v>
      </c>
    </row>
    <row r="38">
      <c r="A38" s="3" t="s">
        <v>66</v>
      </c>
      <c r="B38" s="3" t="s">
        <v>68</v>
      </c>
      <c r="C38" s="4">
        <f t="shared" si="3"/>
        <v>23.5</v>
      </c>
      <c r="D38" s="3">
        <v>6.0</v>
      </c>
      <c r="E38" s="6">
        <f>'COURT WHIST'!D4</f>
        <v>17.5</v>
      </c>
      <c r="F38" s="6">
        <f>BEANBAG!D42</f>
        <v>0</v>
      </c>
      <c r="G38" s="6">
        <f>CRIBBAGE!E27</f>
        <v>1</v>
      </c>
      <c r="H38" s="6">
        <f>VOLLEYBALL!D10</f>
        <v>5</v>
      </c>
      <c r="I38" s="5">
        <v>0.0</v>
      </c>
      <c r="J38" s="3">
        <v>0.0</v>
      </c>
      <c r="K38" s="5">
        <f>BACKGAMMON!D18</f>
        <v>0</v>
      </c>
      <c r="L38" s="7">
        <v>0.0</v>
      </c>
      <c r="M38" s="7">
        <v>0.0</v>
      </c>
      <c r="N38" s="3">
        <v>0.0</v>
      </c>
      <c r="O38" s="7">
        <v>0.0</v>
      </c>
      <c r="P38" s="7">
        <v>0.0</v>
      </c>
      <c r="Q38" s="7">
        <v>0.0</v>
      </c>
      <c r="R38" s="8">
        <f t="shared" si="1"/>
        <v>23.5</v>
      </c>
      <c r="S38" s="9">
        <f t="shared" si="2"/>
        <v>3.916666667</v>
      </c>
    </row>
    <row r="39">
      <c r="A39" s="3">
        <v>38.0</v>
      </c>
      <c r="B39" s="3" t="s">
        <v>69</v>
      </c>
      <c r="C39" s="4">
        <v>22.0</v>
      </c>
      <c r="D39" s="3">
        <v>8.0</v>
      </c>
      <c r="E39" s="6">
        <f>'COURT WHIST'!D21</f>
        <v>2</v>
      </c>
      <c r="F39" s="5">
        <f>BEANBAG!D32</f>
        <v>0</v>
      </c>
      <c r="G39" s="3">
        <v>0.0</v>
      </c>
      <c r="H39" s="3">
        <v>0.0</v>
      </c>
      <c r="I39" s="3">
        <v>0.0</v>
      </c>
      <c r="J39" s="6">
        <f>GOLF!D16</f>
        <v>10</v>
      </c>
      <c r="K39" s="6">
        <f>BACKGAMMON!D15</f>
        <v>5</v>
      </c>
      <c r="L39" s="5">
        <v>2.0</v>
      </c>
      <c r="M39" s="5">
        <v>0.0</v>
      </c>
      <c r="N39" s="6">
        <v>5.0</v>
      </c>
      <c r="O39" s="5">
        <v>0.0</v>
      </c>
      <c r="P39" s="7">
        <v>0.0</v>
      </c>
      <c r="Q39" s="7">
        <v>0.0</v>
      </c>
      <c r="R39" s="8">
        <f t="shared" si="1"/>
        <v>24</v>
      </c>
      <c r="S39" s="9">
        <f t="shared" si="2"/>
        <v>3</v>
      </c>
    </row>
    <row r="40">
      <c r="A40" s="3">
        <v>39.0</v>
      </c>
      <c r="B40" s="3" t="s">
        <v>70</v>
      </c>
      <c r="C40" s="4">
        <v>21.5</v>
      </c>
      <c r="D40" s="3">
        <v>7.0</v>
      </c>
      <c r="E40" s="6">
        <f>'COURT WHIST'!D11</f>
        <v>6.5</v>
      </c>
      <c r="F40" s="6">
        <f>BEANBAG!D23</f>
        <v>5</v>
      </c>
      <c r="G40" s="3">
        <v>0.0</v>
      </c>
      <c r="H40" s="3">
        <v>0.0</v>
      </c>
      <c r="I40" s="3">
        <v>0.0</v>
      </c>
      <c r="J40" s="3">
        <v>0.0</v>
      </c>
      <c r="K40" s="5">
        <f>BACKGAMMON!D25</f>
        <v>0</v>
      </c>
      <c r="L40" s="7">
        <v>0.0</v>
      </c>
      <c r="M40" s="6">
        <v>5.0</v>
      </c>
      <c r="N40" s="6">
        <v>5.0</v>
      </c>
      <c r="O40" s="5">
        <v>0.0</v>
      </c>
      <c r="P40" s="7">
        <v>0.0</v>
      </c>
      <c r="Q40" s="5">
        <v>0.0</v>
      </c>
      <c r="R40" s="8">
        <f t="shared" si="1"/>
        <v>21.5</v>
      </c>
      <c r="S40" s="9">
        <f t="shared" si="2"/>
        <v>3.071428571</v>
      </c>
    </row>
    <row r="41">
      <c r="A41" s="3">
        <v>40.0</v>
      </c>
      <c r="B41" s="3" t="s">
        <v>71</v>
      </c>
      <c r="C41" s="4">
        <v>21.0</v>
      </c>
      <c r="D41" s="3">
        <v>8.0</v>
      </c>
      <c r="E41" s="5">
        <f>'COURT WHIST'!D20</f>
        <v>2</v>
      </c>
      <c r="F41" s="5">
        <f>BEANBAG!D39</f>
        <v>0</v>
      </c>
      <c r="G41" s="6">
        <f>CRIBBAGE!E12</f>
        <v>5</v>
      </c>
      <c r="H41" s="3">
        <v>0.0</v>
      </c>
      <c r="I41" s="3">
        <v>0.0</v>
      </c>
      <c r="J41" s="3">
        <v>0.0</v>
      </c>
      <c r="K41" s="6">
        <f>BACKGAMMON!D16</f>
        <v>5</v>
      </c>
      <c r="L41" s="5">
        <v>0.0</v>
      </c>
      <c r="M41" s="5">
        <v>0.0</v>
      </c>
      <c r="N41" s="3">
        <v>0.0</v>
      </c>
      <c r="O41" s="6">
        <v>3.0</v>
      </c>
      <c r="P41" s="7">
        <v>0.0</v>
      </c>
      <c r="Q41" s="6">
        <v>8.0</v>
      </c>
      <c r="R41" s="8">
        <f t="shared" si="1"/>
        <v>23</v>
      </c>
      <c r="S41" s="9">
        <f t="shared" si="2"/>
        <v>2.875</v>
      </c>
    </row>
    <row r="42">
      <c r="A42" s="3" t="s">
        <v>72</v>
      </c>
      <c r="B42" s="3" t="s">
        <v>73</v>
      </c>
      <c r="C42" s="4">
        <v>20.0</v>
      </c>
      <c r="D42" s="3">
        <v>6.0</v>
      </c>
      <c r="E42" s="6">
        <f>'COURT WHIST'!D26</f>
        <v>1</v>
      </c>
      <c r="F42" s="5">
        <f>BEANBAG!D44</f>
        <v>0</v>
      </c>
      <c r="G42" s="6">
        <f>CRIBBAGE!E23</f>
        <v>2</v>
      </c>
      <c r="H42" s="6">
        <f>VOLLEYBALL!D15</f>
        <v>2</v>
      </c>
      <c r="I42" s="3">
        <v>0.0</v>
      </c>
      <c r="J42" s="6">
        <f>GOLF!D12</f>
        <v>15</v>
      </c>
      <c r="K42" s="5">
        <f>BACKGAMMON!D19</f>
        <v>0</v>
      </c>
      <c r="L42" s="7">
        <v>0.0</v>
      </c>
      <c r="M42" s="7">
        <v>0.0</v>
      </c>
      <c r="N42" s="3">
        <v>0.0</v>
      </c>
      <c r="O42" s="7">
        <v>0.0</v>
      </c>
      <c r="P42" s="7">
        <v>0.0</v>
      </c>
      <c r="Q42" s="7">
        <v>0.0</v>
      </c>
      <c r="R42" s="8">
        <f t="shared" si="1"/>
        <v>20</v>
      </c>
      <c r="S42" s="9">
        <f t="shared" si="2"/>
        <v>3.333333333</v>
      </c>
    </row>
    <row r="43">
      <c r="A43" s="3" t="s">
        <v>72</v>
      </c>
      <c r="B43" s="3" t="s">
        <v>74</v>
      </c>
      <c r="C43" s="4">
        <v>20.0</v>
      </c>
      <c r="D43" s="3">
        <v>3.0</v>
      </c>
      <c r="E43" s="3">
        <v>0.0</v>
      </c>
      <c r="F43" s="6">
        <v>0.0</v>
      </c>
      <c r="G43" s="3">
        <v>0.0</v>
      </c>
      <c r="H43" s="3">
        <v>0.0</v>
      </c>
      <c r="I43" s="3">
        <v>0.0</v>
      </c>
      <c r="J43" s="6">
        <f>GOLF!D8</f>
        <v>20</v>
      </c>
      <c r="K43" s="3">
        <v>0.0</v>
      </c>
      <c r="L43" s="7">
        <v>0.0</v>
      </c>
      <c r="M43" s="7">
        <v>0.0</v>
      </c>
      <c r="N43" s="3">
        <v>0.0</v>
      </c>
      <c r="O43" s="7">
        <v>0.0</v>
      </c>
      <c r="P43" s="7">
        <v>0.0</v>
      </c>
      <c r="Q43" s="7">
        <v>0.0</v>
      </c>
      <c r="R43" s="8">
        <f t="shared" si="1"/>
        <v>20</v>
      </c>
      <c r="S43" s="9">
        <f t="shared" si="2"/>
        <v>6.666666667</v>
      </c>
    </row>
    <row r="44">
      <c r="A44" s="3" t="s">
        <v>72</v>
      </c>
      <c r="B44" s="3" t="s">
        <v>75</v>
      </c>
      <c r="C44" s="4">
        <v>20.0</v>
      </c>
      <c r="D44" s="3">
        <v>2.0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7">
        <v>0.0</v>
      </c>
      <c r="M44" s="6">
        <v>15.0</v>
      </c>
      <c r="N44" s="3">
        <v>0.0</v>
      </c>
      <c r="O44" s="6">
        <v>5.0</v>
      </c>
      <c r="P44" s="7">
        <v>0.0</v>
      </c>
      <c r="Q44" s="7">
        <v>0.0</v>
      </c>
      <c r="R44" s="8">
        <f t="shared" si="1"/>
        <v>20</v>
      </c>
      <c r="S44" s="9">
        <f t="shared" si="2"/>
        <v>10</v>
      </c>
    </row>
    <row r="45">
      <c r="A45" s="3">
        <v>44.0</v>
      </c>
      <c r="B45" s="3" t="s">
        <v>76</v>
      </c>
      <c r="C45" s="4">
        <v>18.0</v>
      </c>
      <c r="D45" s="3">
        <v>3.0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6">
        <v>2.0</v>
      </c>
      <c r="K45" s="3">
        <v>0.0</v>
      </c>
      <c r="L45" s="6">
        <v>15.0</v>
      </c>
      <c r="M45" s="7">
        <v>0.0</v>
      </c>
      <c r="N45" s="3">
        <v>0.0</v>
      </c>
      <c r="O45" s="7">
        <v>0.0</v>
      </c>
      <c r="P45" s="6">
        <v>1.0</v>
      </c>
      <c r="Q45" s="7">
        <v>0.0</v>
      </c>
      <c r="R45" s="8">
        <f t="shared" si="1"/>
        <v>18</v>
      </c>
      <c r="S45" s="9">
        <f t="shared" si="2"/>
        <v>6</v>
      </c>
    </row>
    <row r="46">
      <c r="A46" s="3" t="s">
        <v>77</v>
      </c>
      <c r="B46" s="3" t="s">
        <v>78</v>
      </c>
      <c r="C46" s="4">
        <v>17.0</v>
      </c>
      <c r="D46" s="3">
        <v>3.0</v>
      </c>
      <c r="E46" s="3">
        <v>0.0</v>
      </c>
      <c r="F46" s="3">
        <v>0.0</v>
      </c>
      <c r="G46" s="6">
        <f>CRIBBAGE!E6</f>
        <v>11</v>
      </c>
      <c r="H46" s="3">
        <v>0.0</v>
      </c>
      <c r="I46" s="3">
        <v>0.0</v>
      </c>
      <c r="J46" s="3">
        <v>0.0</v>
      </c>
      <c r="K46" s="3">
        <v>0.0</v>
      </c>
      <c r="L46" s="6">
        <v>6.0</v>
      </c>
      <c r="M46" s="7">
        <v>0.0</v>
      </c>
      <c r="N46" s="3">
        <v>0.0</v>
      </c>
      <c r="O46" s="5">
        <v>0.0</v>
      </c>
      <c r="P46" s="7">
        <v>0.0</v>
      </c>
      <c r="Q46" s="7">
        <v>0.0</v>
      </c>
      <c r="R46" s="8">
        <f t="shared" si="1"/>
        <v>17</v>
      </c>
      <c r="S46" s="9">
        <f t="shared" si="2"/>
        <v>5.666666667</v>
      </c>
    </row>
    <row r="47">
      <c r="A47" s="3" t="s">
        <v>77</v>
      </c>
      <c r="B47" s="3" t="s">
        <v>79</v>
      </c>
      <c r="C47" s="4">
        <v>17.0</v>
      </c>
      <c r="D47" s="3">
        <v>4.0</v>
      </c>
      <c r="E47" s="3">
        <v>0.0</v>
      </c>
      <c r="F47" s="6">
        <v>0.0</v>
      </c>
      <c r="G47" s="3">
        <v>0.0</v>
      </c>
      <c r="H47" s="3">
        <v>0.0</v>
      </c>
      <c r="I47" s="6">
        <v>12.0</v>
      </c>
      <c r="J47" s="3">
        <v>0.0</v>
      </c>
      <c r="K47" s="3">
        <v>0.0</v>
      </c>
      <c r="L47" s="7">
        <v>0.0</v>
      </c>
      <c r="M47" s="6">
        <v>5.0</v>
      </c>
      <c r="N47" s="3">
        <v>0.0</v>
      </c>
      <c r="O47" s="5">
        <v>0.0</v>
      </c>
      <c r="P47" s="7">
        <v>0.0</v>
      </c>
      <c r="Q47" s="7">
        <v>0.0</v>
      </c>
      <c r="R47" s="8">
        <f t="shared" si="1"/>
        <v>17</v>
      </c>
      <c r="S47" s="9">
        <f t="shared" si="2"/>
        <v>4.25</v>
      </c>
    </row>
    <row r="48">
      <c r="A48" s="3" t="s">
        <v>80</v>
      </c>
      <c r="B48" s="3" t="s">
        <v>81</v>
      </c>
      <c r="C48" s="4">
        <f>SUM(E48:H48)</f>
        <v>15</v>
      </c>
      <c r="D48" s="3">
        <v>3.0</v>
      </c>
      <c r="E48" s="3">
        <v>0.0</v>
      </c>
      <c r="F48" s="6">
        <f>BEANBAG!D13</f>
        <v>10</v>
      </c>
      <c r="G48" s="6">
        <f>CRIBBAGE!E30</f>
        <v>0</v>
      </c>
      <c r="H48" s="6">
        <f>VOLLEYBALL!D12</f>
        <v>5</v>
      </c>
      <c r="I48" s="3">
        <v>0.0</v>
      </c>
      <c r="J48" s="3">
        <v>0.0</v>
      </c>
      <c r="K48" s="3">
        <v>0.0</v>
      </c>
      <c r="L48" s="7">
        <v>0.0</v>
      </c>
      <c r="M48" s="7">
        <v>0.0</v>
      </c>
      <c r="N48" s="3">
        <v>0.0</v>
      </c>
      <c r="O48" s="7">
        <v>0.0</v>
      </c>
      <c r="P48" s="7">
        <v>0.0</v>
      </c>
      <c r="Q48" s="7">
        <v>0.0</v>
      </c>
      <c r="R48" s="8">
        <f t="shared" si="1"/>
        <v>15</v>
      </c>
      <c r="S48" s="9">
        <f t="shared" si="2"/>
        <v>5</v>
      </c>
    </row>
    <row r="49">
      <c r="A49" s="3" t="s">
        <v>80</v>
      </c>
      <c r="B49" s="3" t="s">
        <v>82</v>
      </c>
      <c r="C49" s="4">
        <v>15.0</v>
      </c>
      <c r="D49" s="3">
        <v>2.0</v>
      </c>
      <c r="E49" s="3">
        <v>0.0</v>
      </c>
      <c r="F49" s="6">
        <f>BEANBAG!D24</f>
        <v>5</v>
      </c>
      <c r="G49" s="3">
        <v>0.0</v>
      </c>
      <c r="H49" s="3">
        <v>0.0</v>
      </c>
      <c r="I49" s="3">
        <v>0.0</v>
      </c>
      <c r="J49" s="6">
        <f>GOLF!D19</f>
        <v>10</v>
      </c>
      <c r="K49" s="3">
        <v>0.0</v>
      </c>
      <c r="L49" s="7">
        <v>0.0</v>
      </c>
      <c r="M49" s="7">
        <v>0.0</v>
      </c>
      <c r="N49" s="3">
        <v>0.0</v>
      </c>
      <c r="O49" s="7">
        <v>0.0</v>
      </c>
      <c r="P49" s="7">
        <v>0.0</v>
      </c>
      <c r="Q49" s="7">
        <v>0.0</v>
      </c>
      <c r="R49" s="8">
        <f t="shared" si="1"/>
        <v>15</v>
      </c>
      <c r="S49" s="9">
        <f t="shared" si="2"/>
        <v>7.5</v>
      </c>
    </row>
    <row r="50">
      <c r="A50" s="3" t="s">
        <v>80</v>
      </c>
      <c r="B50" s="3" t="s">
        <v>83</v>
      </c>
      <c r="C50" s="4">
        <v>15.0</v>
      </c>
      <c r="D50" s="3">
        <v>1.0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11">
        <f>BACKGAMMON!D4</f>
        <v>15</v>
      </c>
      <c r="L50" s="7">
        <v>0.0</v>
      </c>
      <c r="M50" s="7">
        <v>0.0</v>
      </c>
      <c r="N50" s="3">
        <v>0.0</v>
      </c>
      <c r="O50" s="7">
        <v>0.0</v>
      </c>
      <c r="P50" s="7">
        <v>0.0</v>
      </c>
      <c r="Q50" s="7">
        <v>0.0</v>
      </c>
      <c r="R50" s="8">
        <f t="shared" si="1"/>
        <v>15</v>
      </c>
      <c r="S50" s="9">
        <f t="shared" si="2"/>
        <v>15</v>
      </c>
    </row>
    <row r="51">
      <c r="A51" s="3" t="s">
        <v>80</v>
      </c>
      <c r="B51" s="3" t="s">
        <v>84</v>
      </c>
      <c r="C51" s="4">
        <v>15.0</v>
      </c>
      <c r="D51" s="3">
        <v>4.0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6">
        <v>0.0</v>
      </c>
      <c r="K51" s="11">
        <f>BACKGAMMON!D21</f>
        <v>0</v>
      </c>
      <c r="L51" s="7">
        <v>0.0</v>
      </c>
      <c r="M51" s="7">
        <v>0.0</v>
      </c>
      <c r="N51" s="3">
        <v>0.0</v>
      </c>
      <c r="O51" s="7">
        <v>0.0</v>
      </c>
      <c r="P51" s="6">
        <v>15.0</v>
      </c>
      <c r="Q51" s="5">
        <v>0.0</v>
      </c>
      <c r="R51" s="8">
        <f t="shared" si="1"/>
        <v>15</v>
      </c>
      <c r="S51" s="9">
        <f t="shared" si="2"/>
        <v>3.75</v>
      </c>
    </row>
    <row r="52">
      <c r="A52" s="3" t="s">
        <v>85</v>
      </c>
      <c r="B52" s="3" t="s">
        <v>86</v>
      </c>
      <c r="C52" s="4">
        <v>12.0</v>
      </c>
      <c r="D52" s="3">
        <v>5.0</v>
      </c>
      <c r="E52" s="6">
        <f>'COURT WHIST'!D19</f>
        <v>3</v>
      </c>
      <c r="F52" s="6">
        <f>BEANBAG!D17</f>
        <v>5</v>
      </c>
      <c r="G52" s="6">
        <f>CRIBBAGE!E21</f>
        <v>2</v>
      </c>
      <c r="H52" s="3">
        <v>0.0</v>
      </c>
      <c r="I52" s="5">
        <v>0.0</v>
      </c>
      <c r="J52" s="6">
        <v>2.0</v>
      </c>
      <c r="K52" s="3">
        <v>0.0</v>
      </c>
      <c r="L52" s="7">
        <v>0.0</v>
      </c>
      <c r="M52" s="7">
        <v>0.0</v>
      </c>
      <c r="N52" s="3">
        <v>0.0</v>
      </c>
      <c r="O52" s="7">
        <v>0.0</v>
      </c>
      <c r="P52" s="7">
        <v>0.0</v>
      </c>
      <c r="Q52" s="7">
        <v>0.0</v>
      </c>
      <c r="R52" s="8">
        <f t="shared" si="1"/>
        <v>12</v>
      </c>
      <c r="S52" s="9">
        <f t="shared" si="2"/>
        <v>2.4</v>
      </c>
    </row>
    <row r="53">
      <c r="A53" s="3" t="s">
        <v>85</v>
      </c>
      <c r="B53" s="3" t="s">
        <v>87</v>
      </c>
      <c r="C53" s="4">
        <v>12.0</v>
      </c>
      <c r="D53" s="3">
        <v>2.0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6">
        <v>12.0</v>
      </c>
      <c r="M53" s="3">
        <v>0.0</v>
      </c>
      <c r="N53" s="3">
        <v>0.0</v>
      </c>
      <c r="O53" s="7">
        <v>0.0</v>
      </c>
      <c r="P53" s="7">
        <v>0.0</v>
      </c>
      <c r="Q53" s="5">
        <v>0.0</v>
      </c>
      <c r="R53" s="8">
        <f t="shared" si="1"/>
        <v>12</v>
      </c>
      <c r="S53" s="9">
        <f t="shared" si="2"/>
        <v>6</v>
      </c>
    </row>
    <row r="54">
      <c r="A54" s="3">
        <v>53.0</v>
      </c>
      <c r="B54" s="3" t="s">
        <v>88</v>
      </c>
      <c r="C54" s="4">
        <v>11.0</v>
      </c>
      <c r="D54" s="3">
        <v>2.0</v>
      </c>
      <c r="E54" s="3">
        <v>0.0</v>
      </c>
      <c r="F54" s="6">
        <f>BEANBAG!D19</f>
        <v>5</v>
      </c>
      <c r="G54" s="3">
        <v>0.0</v>
      </c>
      <c r="H54" s="3">
        <v>0.0</v>
      </c>
      <c r="I54" s="6">
        <v>6.0</v>
      </c>
      <c r="J54" s="3">
        <v>0.0</v>
      </c>
      <c r="K54" s="3">
        <v>0.0</v>
      </c>
      <c r="L54" s="7">
        <v>0.0</v>
      </c>
      <c r="M54" s="7">
        <v>0.0</v>
      </c>
      <c r="N54" s="3">
        <v>0.0</v>
      </c>
      <c r="O54" s="7">
        <v>0.0</v>
      </c>
      <c r="P54" s="7">
        <v>0.0</v>
      </c>
      <c r="Q54" s="7">
        <v>0.0</v>
      </c>
      <c r="R54" s="8">
        <f t="shared" si="1"/>
        <v>11</v>
      </c>
      <c r="S54" s="9">
        <f t="shared" si="2"/>
        <v>5.5</v>
      </c>
    </row>
    <row r="55">
      <c r="A55" s="3" t="s">
        <v>89</v>
      </c>
      <c r="B55" s="3" t="s">
        <v>90</v>
      </c>
      <c r="C55" s="4">
        <v>10.0</v>
      </c>
      <c r="D55" s="3">
        <v>1.0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11">
        <f>GOLF!D15</f>
        <v>10</v>
      </c>
      <c r="K55" s="3">
        <v>0.0</v>
      </c>
      <c r="L55" s="7">
        <v>0.0</v>
      </c>
      <c r="M55" s="7">
        <v>0.0</v>
      </c>
      <c r="N55" s="3">
        <v>0.0</v>
      </c>
      <c r="O55" s="7">
        <v>0.0</v>
      </c>
      <c r="P55" s="7">
        <v>0.0</v>
      </c>
      <c r="Q55" s="7">
        <v>0.0</v>
      </c>
      <c r="R55" s="8">
        <f t="shared" si="1"/>
        <v>10</v>
      </c>
      <c r="S55" s="9">
        <f t="shared" si="2"/>
        <v>10</v>
      </c>
    </row>
    <row r="56">
      <c r="A56" s="3" t="s">
        <v>89</v>
      </c>
      <c r="B56" s="3" t="s">
        <v>91</v>
      </c>
      <c r="C56" s="4">
        <v>10.0</v>
      </c>
      <c r="D56" s="3">
        <v>1.0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11">
        <f>GOLF!D21</f>
        <v>10</v>
      </c>
      <c r="K56" s="3">
        <v>0.0</v>
      </c>
      <c r="L56" s="7">
        <v>0.0</v>
      </c>
      <c r="M56" s="7">
        <v>0.0</v>
      </c>
      <c r="N56" s="3">
        <v>0.0</v>
      </c>
      <c r="O56" s="7">
        <v>0.0</v>
      </c>
      <c r="P56" s="7">
        <v>0.0</v>
      </c>
      <c r="Q56" s="7">
        <v>0.0</v>
      </c>
      <c r="R56" s="8">
        <f t="shared" si="1"/>
        <v>10</v>
      </c>
      <c r="S56" s="9">
        <f t="shared" si="2"/>
        <v>10</v>
      </c>
    </row>
    <row r="57">
      <c r="A57" s="3" t="s">
        <v>89</v>
      </c>
      <c r="B57" s="3" t="s">
        <v>92</v>
      </c>
      <c r="C57" s="4">
        <v>10.0</v>
      </c>
      <c r="D57" s="3">
        <v>1.0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11">
        <f>BACKGAMMON!D7</f>
        <v>10</v>
      </c>
      <c r="L57" s="7">
        <v>0.0</v>
      </c>
      <c r="M57" s="7">
        <v>0.0</v>
      </c>
      <c r="N57" s="3">
        <v>0.0</v>
      </c>
      <c r="O57" s="7">
        <v>0.0</v>
      </c>
      <c r="P57" s="7">
        <v>0.0</v>
      </c>
      <c r="Q57" s="7">
        <v>0.0</v>
      </c>
      <c r="R57" s="8">
        <f t="shared" si="1"/>
        <v>10</v>
      </c>
      <c r="S57" s="9">
        <f t="shared" si="2"/>
        <v>10</v>
      </c>
    </row>
    <row r="58">
      <c r="A58" s="3" t="s">
        <v>89</v>
      </c>
      <c r="B58" s="3" t="s">
        <v>93</v>
      </c>
      <c r="C58" s="4">
        <v>10.0</v>
      </c>
      <c r="D58" s="3">
        <v>3.0</v>
      </c>
      <c r="E58" s="6">
        <f>'COURT WHIST'!D30</f>
        <v>1</v>
      </c>
      <c r="F58" s="3">
        <v>0.0</v>
      </c>
      <c r="G58" s="6">
        <f>CRIBBAGE!E32</f>
        <v>0</v>
      </c>
      <c r="H58" s="3">
        <v>0.0</v>
      </c>
      <c r="I58" s="3">
        <v>0.0</v>
      </c>
      <c r="J58" s="3">
        <v>0.0</v>
      </c>
      <c r="K58" s="3">
        <v>0.0</v>
      </c>
      <c r="L58" s="7">
        <v>0.0</v>
      </c>
      <c r="M58" s="7">
        <v>0.0</v>
      </c>
      <c r="N58" s="3">
        <v>0.0</v>
      </c>
      <c r="O58" s="7">
        <v>0.0</v>
      </c>
      <c r="P58" s="7">
        <v>0.0</v>
      </c>
      <c r="Q58" s="6">
        <v>9.0</v>
      </c>
      <c r="R58" s="8">
        <f t="shared" si="1"/>
        <v>10</v>
      </c>
      <c r="S58" s="9">
        <f t="shared" si="2"/>
        <v>3.333333333</v>
      </c>
    </row>
    <row r="59">
      <c r="A59" s="3">
        <v>58.0</v>
      </c>
      <c r="B59" s="3" t="s">
        <v>94</v>
      </c>
      <c r="C59" s="4">
        <v>9.0</v>
      </c>
      <c r="D59" s="3">
        <v>2.0</v>
      </c>
      <c r="E59" s="6">
        <f>'COURT WHIST'!D32</f>
        <v>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6">
        <f>BACKGAMMON!D12</f>
        <v>5</v>
      </c>
      <c r="L59" s="6">
        <v>4.0</v>
      </c>
      <c r="M59" s="7">
        <v>0.0</v>
      </c>
      <c r="N59" s="3">
        <v>0.0</v>
      </c>
      <c r="O59" s="7">
        <v>0.0</v>
      </c>
      <c r="P59" s="7">
        <v>0.0</v>
      </c>
      <c r="Q59" s="7">
        <v>0.0</v>
      </c>
      <c r="R59" s="8">
        <f t="shared" si="1"/>
        <v>9</v>
      </c>
      <c r="S59" s="9">
        <f t="shared" si="2"/>
        <v>4.5</v>
      </c>
    </row>
    <row r="60">
      <c r="A60" s="3">
        <v>59.0</v>
      </c>
      <c r="B60" s="3" t="s">
        <v>95</v>
      </c>
      <c r="C60" s="4">
        <v>8.5</v>
      </c>
      <c r="D60" s="3">
        <v>3.0</v>
      </c>
      <c r="E60" s="6">
        <f>'COURT WHIST'!D10</f>
        <v>6.5</v>
      </c>
      <c r="F60" s="6">
        <f>BEANBAG!D26</f>
        <v>0</v>
      </c>
      <c r="G60" s="3">
        <v>0.0</v>
      </c>
      <c r="H60" s="3">
        <v>0.0</v>
      </c>
      <c r="I60" s="3">
        <v>0.0</v>
      </c>
      <c r="J60" s="6">
        <v>2.0</v>
      </c>
      <c r="K60" s="3">
        <v>0.0</v>
      </c>
      <c r="L60" s="7">
        <v>0.0</v>
      </c>
      <c r="M60" s="7">
        <v>0.0</v>
      </c>
      <c r="N60" s="3">
        <v>0.0</v>
      </c>
      <c r="O60" s="7">
        <v>0.0</v>
      </c>
      <c r="P60" s="7">
        <v>0.0</v>
      </c>
      <c r="Q60" s="7">
        <v>0.0</v>
      </c>
      <c r="R60" s="8">
        <f t="shared" si="1"/>
        <v>8.5</v>
      </c>
      <c r="S60" s="9">
        <f t="shared" si="2"/>
        <v>2.833333333</v>
      </c>
    </row>
    <row r="61">
      <c r="A61" s="3">
        <v>60.0</v>
      </c>
      <c r="B61" s="3" t="s">
        <v>96</v>
      </c>
      <c r="C61" s="4">
        <v>6.0</v>
      </c>
      <c r="D61" s="3">
        <v>2.0</v>
      </c>
      <c r="E61" s="3">
        <v>0.0</v>
      </c>
      <c r="F61" s="6">
        <v>0.0</v>
      </c>
      <c r="G61" s="3">
        <v>0.0</v>
      </c>
      <c r="H61" s="3">
        <v>0.0</v>
      </c>
      <c r="I61" s="6">
        <v>6.0</v>
      </c>
      <c r="J61" s="3">
        <v>0.0</v>
      </c>
      <c r="K61" s="3">
        <v>0.0</v>
      </c>
      <c r="L61" s="7">
        <v>0.0</v>
      </c>
      <c r="M61" s="7">
        <v>0.0</v>
      </c>
      <c r="N61" s="3">
        <v>0.0</v>
      </c>
      <c r="O61" s="7">
        <v>0.0</v>
      </c>
      <c r="P61" s="7">
        <v>0.0</v>
      </c>
      <c r="Q61" s="7">
        <v>0.0</v>
      </c>
      <c r="R61" s="8">
        <f t="shared" si="1"/>
        <v>6</v>
      </c>
      <c r="S61" s="9">
        <f t="shared" si="2"/>
        <v>3</v>
      </c>
    </row>
    <row r="62">
      <c r="A62" s="3" t="s">
        <v>97</v>
      </c>
      <c r="B62" s="3" t="s">
        <v>98</v>
      </c>
      <c r="C62" s="4">
        <v>5.0</v>
      </c>
      <c r="D62" s="3">
        <v>1.0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6">
        <v>5.0</v>
      </c>
      <c r="N62" s="3">
        <v>0.0</v>
      </c>
      <c r="O62" s="7">
        <v>0.0</v>
      </c>
      <c r="P62" s="7">
        <v>0.0</v>
      </c>
      <c r="Q62" s="7">
        <v>0.0</v>
      </c>
      <c r="R62" s="8">
        <f t="shared" si="1"/>
        <v>5</v>
      </c>
      <c r="S62" s="9">
        <f t="shared" si="2"/>
        <v>5</v>
      </c>
    </row>
    <row r="63">
      <c r="A63" s="3" t="s">
        <v>97</v>
      </c>
      <c r="B63" s="3" t="s">
        <v>99</v>
      </c>
      <c r="C63" s="4">
        <v>5.0</v>
      </c>
      <c r="D63" s="3">
        <v>4.0</v>
      </c>
      <c r="E63" s="3">
        <v>0.0</v>
      </c>
      <c r="F63" s="6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7">
        <v>0.0</v>
      </c>
      <c r="M63" s="6">
        <v>0.0</v>
      </c>
      <c r="N63" s="6">
        <v>5.0</v>
      </c>
      <c r="O63" s="7">
        <v>0.0</v>
      </c>
      <c r="P63" s="7">
        <v>0.0</v>
      </c>
      <c r="Q63" s="7">
        <v>0.0</v>
      </c>
      <c r="R63" s="8">
        <f t="shared" si="1"/>
        <v>5</v>
      </c>
      <c r="S63" s="9">
        <f t="shared" si="2"/>
        <v>1.25</v>
      </c>
    </row>
    <row r="64">
      <c r="A64" s="3" t="s">
        <v>97</v>
      </c>
      <c r="B64" s="3" t="s">
        <v>100</v>
      </c>
      <c r="C64" s="4">
        <v>5.0</v>
      </c>
      <c r="D64" s="3">
        <v>3.0</v>
      </c>
      <c r="E64" s="3">
        <v>0.0</v>
      </c>
      <c r="F64" s="6">
        <v>0.0</v>
      </c>
      <c r="G64" s="3">
        <v>0.0</v>
      </c>
      <c r="H64" s="3">
        <v>0.0</v>
      </c>
      <c r="I64" s="3">
        <v>0.0</v>
      </c>
      <c r="J64" s="3">
        <v>0.0</v>
      </c>
      <c r="K64" s="6">
        <f>BACKGAMMON!D30</f>
        <v>0</v>
      </c>
      <c r="L64" s="7">
        <v>0.0</v>
      </c>
      <c r="M64" s="7">
        <v>0.0</v>
      </c>
      <c r="N64" s="3">
        <v>0.0</v>
      </c>
      <c r="O64" s="6">
        <v>5.0</v>
      </c>
      <c r="P64" s="7">
        <v>0.0</v>
      </c>
      <c r="Q64" s="7">
        <v>0.0</v>
      </c>
      <c r="R64" s="8">
        <f t="shared" si="1"/>
        <v>5</v>
      </c>
      <c r="S64" s="9">
        <f t="shared" si="2"/>
        <v>1.666666667</v>
      </c>
    </row>
    <row r="65">
      <c r="A65" s="3">
        <v>64.0</v>
      </c>
      <c r="B65" s="3" t="s">
        <v>101</v>
      </c>
      <c r="C65" s="4">
        <v>4.0</v>
      </c>
      <c r="D65" s="3">
        <v>1.0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7">
        <v>0.0</v>
      </c>
      <c r="M65" s="7">
        <v>0.0</v>
      </c>
      <c r="N65" s="3">
        <v>0.0</v>
      </c>
      <c r="O65" s="7">
        <v>0.0</v>
      </c>
      <c r="P65" s="7">
        <v>0.0</v>
      </c>
      <c r="Q65" s="6">
        <v>4.0</v>
      </c>
      <c r="R65" s="8">
        <f t="shared" si="1"/>
        <v>4</v>
      </c>
      <c r="S65" s="9">
        <f t="shared" si="2"/>
        <v>4</v>
      </c>
    </row>
    <row r="66">
      <c r="A66" s="3" t="s">
        <v>102</v>
      </c>
      <c r="B66" s="3" t="s">
        <v>103</v>
      </c>
      <c r="C66" s="4">
        <v>3.0</v>
      </c>
      <c r="D66" s="3">
        <v>1.0</v>
      </c>
      <c r="E66" s="7">
        <v>0.0</v>
      </c>
      <c r="F66" s="7">
        <v>0.0</v>
      </c>
      <c r="G66" s="7">
        <v>0.0</v>
      </c>
      <c r="H66" s="7">
        <v>0.0</v>
      </c>
      <c r="I66" s="7">
        <v>0.0</v>
      </c>
      <c r="J66" s="7">
        <v>0.0</v>
      </c>
      <c r="K66" s="7">
        <v>0.0</v>
      </c>
      <c r="L66" s="7">
        <v>0.0</v>
      </c>
      <c r="M66" s="7">
        <v>0.0</v>
      </c>
      <c r="N66" s="7">
        <v>0.0</v>
      </c>
      <c r="O66" s="6">
        <v>3.0</v>
      </c>
      <c r="P66" s="7">
        <v>0.0</v>
      </c>
      <c r="Q66" s="7">
        <v>0.0</v>
      </c>
      <c r="R66" s="8">
        <f t="shared" si="1"/>
        <v>3</v>
      </c>
      <c r="S66" s="9">
        <f t="shared" si="2"/>
        <v>3</v>
      </c>
    </row>
    <row r="67">
      <c r="A67" s="3" t="s">
        <v>102</v>
      </c>
      <c r="B67" s="3" t="s">
        <v>104</v>
      </c>
      <c r="C67" s="4">
        <v>3.0</v>
      </c>
      <c r="D67" s="3">
        <v>1.0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7">
        <v>0.0</v>
      </c>
      <c r="M67" s="7">
        <v>0.0</v>
      </c>
      <c r="N67" s="3">
        <v>0.0</v>
      </c>
      <c r="O67" s="6">
        <v>3.0</v>
      </c>
      <c r="P67" s="7">
        <v>0.0</v>
      </c>
      <c r="Q67" s="7">
        <v>0.0</v>
      </c>
      <c r="R67" s="8">
        <f t="shared" si="1"/>
        <v>3</v>
      </c>
      <c r="S67" s="9">
        <f t="shared" si="2"/>
        <v>3</v>
      </c>
    </row>
    <row r="68">
      <c r="A68" s="3" t="s">
        <v>105</v>
      </c>
      <c r="B68" s="3" t="s">
        <v>106</v>
      </c>
      <c r="C68" s="4">
        <f>SUM(E68:H68)</f>
        <v>0</v>
      </c>
      <c r="D68" s="3">
        <v>1.0</v>
      </c>
      <c r="E68" s="3">
        <v>0.0</v>
      </c>
      <c r="F68" s="6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7">
        <v>0.0</v>
      </c>
      <c r="M68" s="7">
        <v>0.0</v>
      </c>
      <c r="N68" s="3">
        <v>0.0</v>
      </c>
      <c r="O68" s="7">
        <v>0.0</v>
      </c>
      <c r="P68" s="7">
        <v>0.0</v>
      </c>
      <c r="Q68" s="7">
        <v>0.0</v>
      </c>
      <c r="R68" s="8">
        <f t="shared" si="1"/>
        <v>0</v>
      </c>
      <c r="S68" s="9">
        <f t="shared" si="2"/>
        <v>0</v>
      </c>
    </row>
    <row r="69">
      <c r="A69" s="3" t="s">
        <v>105</v>
      </c>
      <c r="B69" s="3" t="s">
        <v>107</v>
      </c>
      <c r="C69" s="4">
        <v>0.0</v>
      </c>
      <c r="D69" s="3">
        <v>1.0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7">
        <v>0.0</v>
      </c>
      <c r="M69" s="7">
        <v>0.0</v>
      </c>
      <c r="N69" s="3">
        <v>0.0</v>
      </c>
      <c r="O69" s="6">
        <v>0.0</v>
      </c>
      <c r="P69" s="7">
        <v>0.0</v>
      </c>
      <c r="Q69" s="7">
        <v>0.0</v>
      </c>
      <c r="R69" s="8">
        <f t="shared" si="1"/>
        <v>0</v>
      </c>
      <c r="S69" s="9">
        <f t="shared" si="2"/>
        <v>0</v>
      </c>
    </row>
    <row r="70">
      <c r="A70" s="3">
        <v>69.0</v>
      </c>
      <c r="B70" s="3" t="s">
        <v>108</v>
      </c>
      <c r="C70" s="4">
        <f>SUM(E70:H70)</f>
        <v>-2.5</v>
      </c>
      <c r="D70" s="3">
        <v>4.0</v>
      </c>
      <c r="E70" s="6">
        <f>'COURT WHIST'!D36</f>
        <v>-2.5</v>
      </c>
      <c r="F70" s="3">
        <v>0.0</v>
      </c>
      <c r="G70" s="6">
        <f>CRIBBAGE!E31</f>
        <v>0</v>
      </c>
      <c r="H70" s="3">
        <v>0.0</v>
      </c>
      <c r="I70" s="6">
        <v>0.0</v>
      </c>
      <c r="J70" s="3">
        <v>0.0</v>
      </c>
      <c r="K70" s="6">
        <f>BACKGAMMON!D34</f>
        <v>0</v>
      </c>
      <c r="L70" s="7">
        <v>0.0</v>
      </c>
      <c r="M70" s="7">
        <v>0.0</v>
      </c>
      <c r="N70" s="3">
        <v>0.0</v>
      </c>
      <c r="O70" s="7">
        <v>0.0</v>
      </c>
      <c r="P70" s="7">
        <v>0.0</v>
      </c>
      <c r="Q70" s="7">
        <v>0.0</v>
      </c>
      <c r="R70" s="8">
        <f t="shared" si="1"/>
        <v>-2.5</v>
      </c>
      <c r="S70" s="9">
        <f t="shared" si="2"/>
        <v>-0.625</v>
      </c>
    </row>
    <row r="71">
      <c r="B71" s="8"/>
      <c r="C71" s="8"/>
      <c r="D71" s="8"/>
      <c r="E71" s="8"/>
      <c r="F71" s="8"/>
      <c r="G71" s="8"/>
      <c r="H71" s="8"/>
      <c r="I71" s="8"/>
      <c r="J71" s="8"/>
      <c r="K71" s="8"/>
      <c r="L71" s="13"/>
      <c r="M71" s="13"/>
      <c r="N71" s="8"/>
      <c r="O71" s="13"/>
      <c r="P71" s="13"/>
      <c r="Q71" s="13"/>
      <c r="S71" s="8"/>
    </row>
    <row r="72">
      <c r="B72" s="8"/>
      <c r="C72" s="8"/>
      <c r="D72" s="8"/>
      <c r="E72" s="8"/>
      <c r="F72" s="8"/>
      <c r="G72" s="8"/>
      <c r="H72" s="8"/>
      <c r="I72" s="8"/>
      <c r="J72" s="8"/>
      <c r="K72" s="8"/>
      <c r="L72" s="13"/>
      <c r="M72" s="13"/>
      <c r="N72" s="8"/>
      <c r="O72" s="13"/>
      <c r="P72" s="13"/>
      <c r="Q72" s="13"/>
      <c r="S72" s="8"/>
    </row>
    <row r="73">
      <c r="B73" s="8"/>
      <c r="C73" s="8"/>
      <c r="D73" s="8"/>
      <c r="E73" s="8"/>
      <c r="F73" s="8"/>
      <c r="G73" s="8"/>
      <c r="H73" s="8"/>
      <c r="I73" s="8"/>
      <c r="J73" s="8"/>
      <c r="K73" s="8"/>
      <c r="L73" s="13"/>
      <c r="M73" s="13"/>
      <c r="N73" s="8"/>
      <c r="O73" s="13"/>
      <c r="P73" s="13"/>
      <c r="Q73" s="13"/>
      <c r="S73" s="8"/>
    </row>
    <row r="74">
      <c r="B74" s="8"/>
      <c r="C74" s="8"/>
      <c r="D74" s="8"/>
      <c r="E74" s="8"/>
      <c r="F74" s="8"/>
      <c r="G74" s="8"/>
      <c r="H74" s="8"/>
      <c r="I74" s="8"/>
      <c r="J74" s="8"/>
      <c r="K74" s="8"/>
      <c r="L74" s="13"/>
      <c r="M74" s="13"/>
      <c r="N74" s="8"/>
      <c r="O74" s="13"/>
      <c r="P74" s="13"/>
      <c r="Q74" s="13"/>
      <c r="S74" s="8"/>
    </row>
    <row r="75">
      <c r="L75" s="14"/>
      <c r="M75" s="14"/>
      <c r="O75" s="14"/>
      <c r="P75" s="14"/>
      <c r="Q75" s="14"/>
      <c r="S75" s="8"/>
    </row>
    <row r="76">
      <c r="L76" s="14"/>
      <c r="M76" s="14"/>
      <c r="O76" s="14"/>
      <c r="P76" s="14"/>
      <c r="Q76" s="14"/>
      <c r="S76" s="8"/>
    </row>
    <row r="77">
      <c r="L77" s="14"/>
      <c r="M77" s="14"/>
      <c r="O77" s="14"/>
      <c r="P77" s="14"/>
      <c r="Q77" s="14"/>
      <c r="S77" s="8"/>
    </row>
    <row r="78">
      <c r="L78" s="14"/>
      <c r="M78" s="14"/>
      <c r="O78" s="14"/>
      <c r="P78" s="14"/>
      <c r="Q78" s="14"/>
      <c r="S78" s="8"/>
    </row>
    <row r="79">
      <c r="L79" s="14"/>
      <c r="M79" s="14"/>
      <c r="O79" s="14"/>
      <c r="P79" s="14"/>
      <c r="Q79" s="14"/>
      <c r="S79" s="8"/>
    </row>
    <row r="80">
      <c r="L80" s="14"/>
      <c r="M80" s="14"/>
      <c r="O80" s="14"/>
      <c r="P80" s="14"/>
      <c r="Q80" s="14"/>
      <c r="S80" s="8"/>
    </row>
    <row r="81">
      <c r="L81" s="14"/>
      <c r="M81" s="14"/>
      <c r="O81" s="14"/>
      <c r="P81" s="14"/>
      <c r="Q81" s="14"/>
      <c r="S81" s="8"/>
    </row>
    <row r="82">
      <c r="L82" s="14"/>
      <c r="M82" s="14"/>
      <c r="O82" s="14"/>
      <c r="P82" s="14"/>
      <c r="Q82" s="14"/>
      <c r="S82" s="8"/>
    </row>
    <row r="83">
      <c r="L83" s="14"/>
      <c r="M83" s="14"/>
      <c r="O83" s="14"/>
      <c r="P83" s="14"/>
      <c r="Q83" s="14"/>
      <c r="S83" s="8"/>
    </row>
    <row r="84">
      <c r="L84" s="14"/>
      <c r="M84" s="14"/>
      <c r="O84" s="14"/>
      <c r="P84" s="14"/>
      <c r="Q84" s="14"/>
      <c r="S84" s="8"/>
    </row>
    <row r="85">
      <c r="L85" s="14"/>
      <c r="M85" s="14"/>
      <c r="O85" s="14"/>
      <c r="P85" s="14"/>
      <c r="Q85" s="14"/>
      <c r="S85" s="8"/>
    </row>
    <row r="86">
      <c r="L86" s="14"/>
      <c r="M86" s="14"/>
      <c r="O86" s="14"/>
      <c r="P86" s="14"/>
      <c r="Q86" s="14"/>
      <c r="S86" s="8"/>
    </row>
    <row r="87">
      <c r="L87" s="14"/>
      <c r="M87" s="14"/>
      <c r="O87" s="14"/>
      <c r="P87" s="14"/>
      <c r="Q87" s="14"/>
      <c r="S87" s="8"/>
    </row>
    <row r="88">
      <c r="L88" s="14"/>
      <c r="M88" s="14"/>
      <c r="O88" s="14"/>
      <c r="P88" s="14"/>
      <c r="Q88" s="14"/>
      <c r="S88" s="8"/>
    </row>
    <row r="89">
      <c r="L89" s="14"/>
      <c r="M89" s="14"/>
      <c r="O89" s="14"/>
      <c r="P89" s="14"/>
      <c r="Q89" s="14"/>
      <c r="S89" s="8"/>
    </row>
    <row r="90">
      <c r="L90" s="14"/>
      <c r="M90" s="14"/>
      <c r="O90" s="14"/>
      <c r="P90" s="14"/>
      <c r="Q90" s="14"/>
      <c r="S90" s="8"/>
    </row>
    <row r="91">
      <c r="L91" s="14"/>
      <c r="M91" s="14"/>
      <c r="O91" s="14"/>
      <c r="P91" s="14"/>
      <c r="Q91" s="14"/>
      <c r="S91" s="8"/>
    </row>
    <row r="92">
      <c r="L92" s="14"/>
      <c r="M92" s="14"/>
      <c r="O92" s="14"/>
      <c r="P92" s="14"/>
      <c r="Q92" s="14"/>
      <c r="S92" s="8"/>
    </row>
    <row r="93">
      <c r="L93" s="14"/>
      <c r="M93" s="14"/>
      <c r="O93" s="14"/>
      <c r="P93" s="14"/>
      <c r="Q93" s="14"/>
      <c r="S93" s="8"/>
    </row>
    <row r="94">
      <c r="L94" s="14"/>
      <c r="M94" s="14"/>
      <c r="O94" s="14"/>
      <c r="P94" s="14"/>
      <c r="Q94" s="14"/>
      <c r="S94" s="8"/>
    </row>
    <row r="95">
      <c r="L95" s="14"/>
      <c r="M95" s="14"/>
      <c r="O95" s="14"/>
      <c r="P95" s="14"/>
      <c r="Q95" s="14"/>
      <c r="S95" s="8"/>
    </row>
    <row r="96">
      <c r="L96" s="14"/>
      <c r="M96" s="14"/>
      <c r="O96" s="14"/>
      <c r="P96" s="14"/>
      <c r="Q96" s="14"/>
      <c r="S96" s="8"/>
    </row>
    <row r="97">
      <c r="L97" s="14"/>
      <c r="M97" s="14"/>
      <c r="O97" s="14"/>
      <c r="P97" s="14"/>
      <c r="Q97" s="14"/>
      <c r="S97" s="8"/>
    </row>
    <row r="98">
      <c r="L98" s="14"/>
      <c r="M98" s="14"/>
      <c r="O98" s="14"/>
      <c r="P98" s="14"/>
      <c r="Q98" s="14"/>
      <c r="S98" s="8"/>
    </row>
    <row r="99">
      <c r="L99" s="14"/>
      <c r="M99" s="14"/>
      <c r="O99" s="14"/>
      <c r="P99" s="14"/>
      <c r="Q99" s="14"/>
      <c r="S99" s="8"/>
    </row>
    <row r="100">
      <c r="L100" s="14"/>
      <c r="M100" s="14"/>
      <c r="O100" s="14"/>
      <c r="P100" s="14"/>
      <c r="Q100" s="14"/>
      <c r="S100" s="8"/>
    </row>
    <row r="101">
      <c r="L101" s="14"/>
      <c r="M101" s="14"/>
      <c r="O101" s="14"/>
      <c r="P101" s="14"/>
      <c r="Q101" s="14"/>
      <c r="S101" s="8"/>
    </row>
    <row r="102">
      <c r="L102" s="14"/>
      <c r="M102" s="14"/>
      <c r="O102" s="14"/>
      <c r="P102" s="14"/>
      <c r="Q102" s="14"/>
      <c r="S102" s="8"/>
    </row>
    <row r="103">
      <c r="L103" s="14"/>
      <c r="M103" s="14"/>
      <c r="O103" s="14"/>
      <c r="P103" s="14"/>
      <c r="Q103" s="14"/>
      <c r="S103" s="8"/>
    </row>
    <row r="104">
      <c r="L104" s="14"/>
      <c r="M104" s="14"/>
      <c r="O104" s="14"/>
      <c r="P104" s="14"/>
      <c r="Q104" s="14"/>
      <c r="S104" s="8"/>
    </row>
    <row r="105">
      <c r="L105" s="14"/>
      <c r="M105" s="14"/>
      <c r="O105" s="14"/>
      <c r="P105" s="14"/>
      <c r="Q105" s="14"/>
      <c r="S105" s="8"/>
    </row>
    <row r="106">
      <c r="L106" s="14"/>
      <c r="M106" s="14"/>
      <c r="O106" s="14"/>
      <c r="P106" s="14"/>
      <c r="Q106" s="14"/>
      <c r="S106" s="8"/>
    </row>
    <row r="107">
      <c r="L107" s="14"/>
      <c r="M107" s="14"/>
      <c r="O107" s="14"/>
      <c r="P107" s="14"/>
      <c r="Q107" s="14"/>
      <c r="S107" s="8"/>
    </row>
    <row r="108">
      <c r="L108" s="14"/>
      <c r="M108" s="14"/>
      <c r="O108" s="14"/>
      <c r="P108" s="14"/>
      <c r="Q108" s="14"/>
      <c r="S108" s="8"/>
    </row>
    <row r="109">
      <c r="L109" s="14"/>
      <c r="M109" s="14"/>
      <c r="O109" s="14"/>
      <c r="P109" s="14"/>
      <c r="Q109" s="14"/>
      <c r="S109" s="8"/>
    </row>
    <row r="110">
      <c r="L110" s="14"/>
      <c r="M110" s="14"/>
      <c r="O110" s="14"/>
      <c r="P110" s="14"/>
      <c r="Q110" s="14"/>
      <c r="S110" s="8"/>
    </row>
    <row r="111">
      <c r="L111" s="14"/>
      <c r="M111" s="14"/>
      <c r="O111" s="14"/>
      <c r="P111" s="14"/>
      <c r="Q111" s="14"/>
      <c r="S111" s="8"/>
    </row>
    <row r="112">
      <c r="L112" s="14"/>
      <c r="M112" s="14"/>
      <c r="O112" s="14"/>
      <c r="P112" s="14"/>
      <c r="Q112" s="14"/>
      <c r="S112" s="8"/>
    </row>
    <row r="113">
      <c r="L113" s="14"/>
      <c r="M113" s="14"/>
      <c r="O113" s="14"/>
      <c r="P113" s="14"/>
      <c r="Q113" s="14"/>
      <c r="S113" s="8"/>
    </row>
    <row r="114">
      <c r="L114" s="14"/>
      <c r="M114" s="14"/>
      <c r="O114" s="14"/>
      <c r="P114" s="14"/>
      <c r="Q114" s="14"/>
      <c r="S114" s="8"/>
    </row>
    <row r="115">
      <c r="L115" s="14"/>
      <c r="M115" s="14"/>
      <c r="O115" s="14"/>
      <c r="P115" s="14"/>
      <c r="Q115" s="14"/>
      <c r="S115" s="8"/>
    </row>
    <row r="116">
      <c r="L116" s="14"/>
      <c r="M116" s="14"/>
      <c r="O116" s="14"/>
      <c r="P116" s="14"/>
      <c r="Q116" s="14"/>
      <c r="S116" s="8"/>
    </row>
    <row r="117">
      <c r="L117" s="14"/>
      <c r="M117" s="14"/>
      <c r="O117" s="14"/>
      <c r="P117" s="14"/>
      <c r="Q117" s="14"/>
      <c r="S117" s="8"/>
    </row>
    <row r="118">
      <c r="L118" s="14"/>
      <c r="M118" s="14"/>
      <c r="O118" s="14"/>
      <c r="P118" s="14"/>
      <c r="Q118" s="14"/>
      <c r="S118" s="8"/>
    </row>
    <row r="119">
      <c r="L119" s="14"/>
      <c r="M119" s="14"/>
      <c r="O119" s="14"/>
      <c r="P119" s="14"/>
      <c r="Q119" s="14"/>
      <c r="S119" s="8"/>
    </row>
    <row r="120">
      <c r="L120" s="14"/>
      <c r="M120" s="14"/>
      <c r="O120" s="14"/>
      <c r="P120" s="14"/>
      <c r="Q120" s="14"/>
      <c r="S120" s="8"/>
    </row>
    <row r="121">
      <c r="L121" s="14"/>
      <c r="M121" s="14"/>
      <c r="O121" s="14"/>
      <c r="P121" s="14"/>
      <c r="Q121" s="14"/>
      <c r="S121" s="8"/>
    </row>
    <row r="122">
      <c r="L122" s="14"/>
      <c r="M122" s="14"/>
      <c r="O122" s="14"/>
      <c r="P122" s="14"/>
      <c r="Q122" s="14"/>
      <c r="S122" s="8"/>
    </row>
    <row r="123">
      <c r="L123" s="14"/>
      <c r="M123" s="14"/>
      <c r="O123" s="14"/>
      <c r="P123" s="14"/>
      <c r="Q123" s="14"/>
      <c r="S123" s="8"/>
    </row>
    <row r="124">
      <c r="L124" s="14"/>
      <c r="M124" s="14"/>
      <c r="O124" s="14"/>
      <c r="P124" s="14"/>
      <c r="Q124" s="14"/>
      <c r="S124" s="8"/>
    </row>
    <row r="125">
      <c r="L125" s="14"/>
      <c r="M125" s="14"/>
      <c r="O125" s="14"/>
      <c r="P125" s="14"/>
      <c r="Q125" s="14"/>
      <c r="S125" s="8"/>
    </row>
    <row r="126">
      <c r="L126" s="14"/>
      <c r="M126" s="14"/>
      <c r="O126" s="14"/>
      <c r="P126" s="14"/>
      <c r="Q126" s="14"/>
      <c r="S126" s="8"/>
    </row>
    <row r="127">
      <c r="L127" s="14"/>
      <c r="M127" s="14"/>
      <c r="O127" s="14"/>
      <c r="P127" s="14"/>
      <c r="Q127" s="14"/>
      <c r="S127" s="8"/>
    </row>
    <row r="128">
      <c r="L128" s="14"/>
      <c r="M128" s="14"/>
      <c r="O128" s="14"/>
      <c r="P128" s="14"/>
      <c r="Q128" s="14"/>
      <c r="S128" s="8"/>
    </row>
    <row r="129">
      <c r="L129" s="14"/>
      <c r="M129" s="14"/>
      <c r="O129" s="14"/>
      <c r="P129" s="14"/>
      <c r="Q129" s="14"/>
      <c r="S129" s="8"/>
    </row>
    <row r="130">
      <c r="L130" s="14"/>
      <c r="M130" s="14"/>
      <c r="O130" s="14"/>
      <c r="P130" s="14"/>
      <c r="Q130" s="14"/>
      <c r="S130" s="8"/>
    </row>
    <row r="131">
      <c r="L131" s="14"/>
      <c r="M131" s="14"/>
      <c r="O131" s="14"/>
      <c r="P131" s="14"/>
      <c r="Q131" s="14"/>
      <c r="S131" s="8"/>
    </row>
    <row r="132">
      <c r="L132" s="14"/>
      <c r="M132" s="14"/>
      <c r="O132" s="14"/>
      <c r="P132" s="14"/>
      <c r="Q132" s="14"/>
      <c r="S132" s="8"/>
    </row>
    <row r="133">
      <c r="L133" s="14"/>
      <c r="M133" s="14"/>
      <c r="O133" s="14"/>
      <c r="P133" s="14"/>
      <c r="Q133" s="14"/>
      <c r="S133" s="8"/>
    </row>
    <row r="134">
      <c r="L134" s="14"/>
      <c r="M134" s="14"/>
      <c r="O134" s="14"/>
      <c r="P134" s="14"/>
      <c r="Q134" s="14"/>
      <c r="S134" s="8"/>
    </row>
    <row r="135">
      <c r="L135" s="14"/>
      <c r="M135" s="14"/>
      <c r="O135" s="14"/>
      <c r="P135" s="14"/>
      <c r="Q135" s="14"/>
      <c r="S135" s="8"/>
    </row>
    <row r="136">
      <c r="L136" s="14"/>
      <c r="M136" s="14"/>
      <c r="O136" s="14"/>
      <c r="P136" s="14"/>
      <c r="Q136" s="14"/>
      <c r="S136" s="8"/>
    </row>
    <row r="137">
      <c r="L137" s="14"/>
      <c r="M137" s="14"/>
      <c r="O137" s="14"/>
      <c r="P137" s="14"/>
      <c r="Q137" s="14"/>
      <c r="S137" s="8"/>
    </row>
    <row r="138">
      <c r="L138" s="14"/>
      <c r="M138" s="14"/>
      <c r="O138" s="14"/>
      <c r="P138" s="14"/>
      <c r="Q138" s="14"/>
      <c r="S138" s="8"/>
    </row>
    <row r="139">
      <c r="L139" s="14"/>
      <c r="M139" s="14"/>
      <c r="O139" s="14"/>
      <c r="P139" s="14"/>
      <c r="Q139" s="14"/>
      <c r="S139" s="8"/>
    </row>
    <row r="140">
      <c r="L140" s="14"/>
      <c r="M140" s="14"/>
      <c r="O140" s="14"/>
      <c r="P140" s="14"/>
      <c r="Q140" s="14"/>
      <c r="S140" s="8"/>
    </row>
    <row r="141">
      <c r="L141" s="14"/>
      <c r="M141" s="14"/>
      <c r="O141" s="14"/>
      <c r="P141" s="14"/>
      <c r="Q141" s="14"/>
      <c r="S141" s="8"/>
    </row>
    <row r="142">
      <c r="L142" s="14"/>
      <c r="M142" s="14"/>
      <c r="O142" s="14"/>
      <c r="P142" s="14"/>
      <c r="Q142" s="14"/>
      <c r="S142" s="8"/>
    </row>
    <row r="143">
      <c r="L143" s="14"/>
      <c r="M143" s="14"/>
      <c r="O143" s="14"/>
      <c r="P143" s="14"/>
      <c r="Q143" s="14"/>
      <c r="S143" s="8"/>
    </row>
    <row r="144">
      <c r="L144" s="14"/>
      <c r="M144" s="14"/>
      <c r="O144" s="14"/>
      <c r="P144" s="14"/>
      <c r="Q144" s="14"/>
      <c r="S144" s="8"/>
    </row>
    <row r="145">
      <c r="L145" s="14"/>
      <c r="M145" s="14"/>
      <c r="O145" s="14"/>
      <c r="P145" s="14"/>
      <c r="Q145" s="14"/>
      <c r="S145" s="8"/>
    </row>
    <row r="146">
      <c r="L146" s="14"/>
      <c r="M146" s="14"/>
      <c r="O146" s="14"/>
      <c r="P146" s="14"/>
      <c r="Q146" s="14"/>
      <c r="S146" s="8"/>
    </row>
    <row r="147">
      <c r="L147" s="14"/>
      <c r="M147" s="14"/>
      <c r="O147" s="14"/>
      <c r="P147" s="14"/>
      <c r="Q147" s="14"/>
      <c r="S147" s="8"/>
    </row>
    <row r="148">
      <c r="L148" s="14"/>
      <c r="M148" s="14"/>
      <c r="O148" s="14"/>
      <c r="P148" s="14"/>
      <c r="Q148" s="14"/>
      <c r="S148" s="8"/>
    </row>
    <row r="149">
      <c r="L149" s="14"/>
      <c r="M149" s="14"/>
      <c r="O149" s="14"/>
      <c r="P149" s="14"/>
      <c r="Q149" s="14"/>
      <c r="S149" s="8"/>
    </row>
    <row r="150">
      <c r="L150" s="14"/>
      <c r="M150" s="14"/>
      <c r="O150" s="14"/>
      <c r="P150" s="14"/>
      <c r="Q150" s="14"/>
      <c r="S150" s="8"/>
    </row>
    <row r="151">
      <c r="L151" s="14"/>
      <c r="M151" s="14"/>
      <c r="O151" s="14"/>
      <c r="P151" s="14"/>
      <c r="Q151" s="14"/>
      <c r="S151" s="8"/>
    </row>
    <row r="152">
      <c r="L152" s="14"/>
      <c r="M152" s="14"/>
      <c r="O152" s="14"/>
      <c r="P152" s="14"/>
      <c r="Q152" s="14"/>
      <c r="S152" s="8"/>
    </row>
    <row r="153">
      <c r="L153" s="14"/>
      <c r="M153" s="14"/>
      <c r="O153" s="14"/>
      <c r="P153" s="14"/>
      <c r="Q153" s="14"/>
      <c r="S153" s="8"/>
    </row>
    <row r="154">
      <c r="L154" s="14"/>
      <c r="M154" s="14"/>
      <c r="O154" s="14"/>
      <c r="P154" s="14"/>
      <c r="Q154" s="14"/>
      <c r="S154" s="8"/>
    </row>
    <row r="155">
      <c r="L155" s="14"/>
      <c r="M155" s="14"/>
      <c r="O155" s="14"/>
      <c r="P155" s="14"/>
      <c r="Q155" s="14"/>
      <c r="S155" s="8"/>
    </row>
    <row r="156">
      <c r="L156" s="14"/>
      <c r="M156" s="14"/>
      <c r="O156" s="14"/>
      <c r="P156" s="14"/>
      <c r="Q156" s="14"/>
      <c r="S156" s="8"/>
    </row>
    <row r="157">
      <c r="L157" s="14"/>
      <c r="M157" s="14"/>
      <c r="O157" s="14"/>
      <c r="P157" s="14"/>
      <c r="Q157" s="14"/>
      <c r="S157" s="8"/>
    </row>
    <row r="158">
      <c r="L158" s="14"/>
      <c r="M158" s="14"/>
      <c r="O158" s="14"/>
      <c r="P158" s="14"/>
      <c r="Q158" s="14"/>
      <c r="S158" s="8"/>
    </row>
    <row r="159">
      <c r="L159" s="14"/>
      <c r="M159" s="14"/>
      <c r="O159" s="14"/>
      <c r="P159" s="14"/>
      <c r="Q159" s="14"/>
      <c r="S159" s="8"/>
    </row>
    <row r="160">
      <c r="L160" s="14"/>
      <c r="M160" s="14"/>
      <c r="O160" s="14"/>
      <c r="P160" s="14"/>
      <c r="Q160" s="14"/>
      <c r="S160" s="8"/>
    </row>
    <row r="161">
      <c r="L161" s="14"/>
      <c r="M161" s="14"/>
      <c r="O161" s="14"/>
      <c r="P161" s="14"/>
      <c r="Q161" s="14"/>
      <c r="S161" s="8"/>
    </row>
    <row r="162">
      <c r="L162" s="14"/>
      <c r="M162" s="14"/>
      <c r="O162" s="14"/>
      <c r="P162" s="14"/>
      <c r="Q162" s="14"/>
      <c r="S162" s="8"/>
    </row>
    <row r="163">
      <c r="L163" s="14"/>
      <c r="M163" s="14"/>
      <c r="O163" s="14"/>
      <c r="P163" s="14"/>
      <c r="Q163" s="14"/>
      <c r="S163" s="8"/>
    </row>
    <row r="164">
      <c r="L164" s="14"/>
      <c r="M164" s="14"/>
      <c r="O164" s="14"/>
      <c r="P164" s="14"/>
      <c r="Q164" s="14"/>
      <c r="S164" s="8"/>
    </row>
    <row r="165">
      <c r="L165" s="14"/>
      <c r="M165" s="14"/>
      <c r="O165" s="14"/>
      <c r="P165" s="14"/>
      <c r="Q165" s="14"/>
      <c r="S165" s="8"/>
    </row>
    <row r="166">
      <c r="L166" s="14"/>
      <c r="M166" s="14"/>
      <c r="O166" s="14"/>
      <c r="P166" s="14"/>
      <c r="Q166" s="14"/>
      <c r="S166" s="8"/>
    </row>
    <row r="167">
      <c r="L167" s="14"/>
      <c r="M167" s="14"/>
      <c r="O167" s="14"/>
      <c r="P167" s="14"/>
      <c r="Q167" s="14"/>
      <c r="S167" s="8"/>
    </row>
    <row r="168">
      <c r="L168" s="14"/>
      <c r="M168" s="14"/>
      <c r="O168" s="14"/>
      <c r="P168" s="14"/>
      <c r="Q168" s="14"/>
      <c r="S168" s="8"/>
    </row>
    <row r="169">
      <c r="L169" s="14"/>
      <c r="M169" s="14"/>
      <c r="O169" s="14"/>
      <c r="P169" s="14"/>
      <c r="Q169" s="14"/>
      <c r="S169" s="8"/>
    </row>
    <row r="170">
      <c r="L170" s="14"/>
      <c r="M170" s="14"/>
      <c r="O170" s="14"/>
      <c r="P170" s="14"/>
      <c r="Q170" s="14"/>
      <c r="S170" s="8"/>
    </row>
    <row r="171">
      <c r="L171" s="14"/>
      <c r="M171" s="14"/>
      <c r="O171" s="14"/>
      <c r="P171" s="14"/>
      <c r="Q171" s="14"/>
      <c r="S171" s="8"/>
    </row>
    <row r="172">
      <c r="L172" s="14"/>
      <c r="M172" s="14"/>
      <c r="O172" s="14"/>
      <c r="P172" s="14"/>
      <c r="Q172" s="14"/>
      <c r="S172" s="8"/>
    </row>
    <row r="173">
      <c r="L173" s="14"/>
      <c r="M173" s="14"/>
      <c r="O173" s="14"/>
      <c r="P173" s="14"/>
      <c r="Q173" s="14"/>
      <c r="S173" s="8"/>
    </row>
    <row r="174">
      <c r="L174" s="14"/>
      <c r="M174" s="14"/>
      <c r="O174" s="14"/>
      <c r="P174" s="14"/>
      <c r="Q174" s="14"/>
      <c r="S174" s="8"/>
    </row>
    <row r="175">
      <c r="L175" s="14"/>
      <c r="M175" s="14"/>
      <c r="O175" s="14"/>
      <c r="P175" s="14"/>
      <c r="Q175" s="14"/>
      <c r="S175" s="8"/>
    </row>
    <row r="176">
      <c r="L176" s="14"/>
      <c r="M176" s="14"/>
      <c r="O176" s="14"/>
      <c r="P176" s="14"/>
      <c r="Q176" s="14"/>
      <c r="S176" s="8"/>
    </row>
    <row r="177">
      <c r="L177" s="14"/>
      <c r="M177" s="14"/>
      <c r="O177" s="14"/>
      <c r="P177" s="14"/>
      <c r="Q177" s="14"/>
      <c r="S177" s="8"/>
    </row>
    <row r="178">
      <c r="L178" s="14"/>
      <c r="M178" s="14"/>
      <c r="O178" s="14"/>
      <c r="P178" s="14"/>
      <c r="Q178" s="14"/>
      <c r="S178" s="8"/>
    </row>
    <row r="179">
      <c r="L179" s="14"/>
      <c r="M179" s="14"/>
      <c r="O179" s="14"/>
      <c r="P179" s="14"/>
      <c r="Q179" s="14"/>
      <c r="S179" s="8"/>
    </row>
    <row r="180">
      <c r="L180" s="14"/>
      <c r="M180" s="14"/>
      <c r="O180" s="14"/>
      <c r="P180" s="14"/>
      <c r="Q180" s="14"/>
      <c r="S180" s="8"/>
    </row>
    <row r="181">
      <c r="L181" s="14"/>
      <c r="M181" s="14"/>
      <c r="O181" s="14"/>
      <c r="P181" s="14"/>
      <c r="Q181" s="14"/>
      <c r="S181" s="8"/>
    </row>
    <row r="182">
      <c r="L182" s="14"/>
      <c r="M182" s="14"/>
      <c r="O182" s="14"/>
      <c r="P182" s="14"/>
      <c r="Q182" s="14"/>
      <c r="S182" s="8"/>
    </row>
    <row r="183">
      <c r="L183" s="14"/>
      <c r="M183" s="14"/>
      <c r="O183" s="14"/>
      <c r="P183" s="14"/>
      <c r="Q183" s="14"/>
      <c r="S183" s="8"/>
    </row>
    <row r="184">
      <c r="L184" s="14"/>
      <c r="M184" s="14"/>
      <c r="O184" s="14"/>
      <c r="P184" s="14"/>
      <c r="Q184" s="14"/>
      <c r="S184" s="8"/>
    </row>
    <row r="185">
      <c r="L185" s="14"/>
      <c r="M185" s="14"/>
      <c r="O185" s="14"/>
      <c r="P185" s="14"/>
      <c r="Q185" s="14"/>
      <c r="S185" s="8"/>
    </row>
    <row r="186">
      <c r="L186" s="14"/>
      <c r="M186" s="14"/>
      <c r="O186" s="14"/>
      <c r="P186" s="14"/>
      <c r="Q186" s="14"/>
      <c r="S186" s="8"/>
    </row>
    <row r="187">
      <c r="L187" s="14"/>
      <c r="M187" s="14"/>
      <c r="O187" s="14"/>
      <c r="P187" s="14"/>
      <c r="Q187" s="14"/>
      <c r="S187" s="8"/>
    </row>
    <row r="188">
      <c r="L188" s="14"/>
      <c r="M188" s="14"/>
      <c r="O188" s="14"/>
      <c r="P188" s="14"/>
      <c r="Q188" s="14"/>
      <c r="S188" s="8"/>
    </row>
    <row r="189">
      <c r="L189" s="14"/>
      <c r="M189" s="14"/>
      <c r="O189" s="14"/>
      <c r="P189" s="14"/>
      <c r="Q189" s="14"/>
      <c r="S189" s="8"/>
    </row>
    <row r="190">
      <c r="L190" s="14"/>
      <c r="M190" s="14"/>
      <c r="O190" s="14"/>
      <c r="P190" s="14"/>
      <c r="Q190" s="14"/>
      <c r="S190" s="8"/>
    </row>
    <row r="191">
      <c r="L191" s="14"/>
      <c r="M191" s="14"/>
      <c r="O191" s="14"/>
      <c r="P191" s="14"/>
      <c r="Q191" s="14"/>
      <c r="S191" s="8"/>
    </row>
    <row r="192">
      <c r="L192" s="14"/>
      <c r="M192" s="14"/>
      <c r="O192" s="14"/>
      <c r="P192" s="14"/>
      <c r="Q192" s="14"/>
      <c r="S192" s="8"/>
    </row>
    <row r="193">
      <c r="L193" s="14"/>
      <c r="M193" s="14"/>
      <c r="O193" s="14"/>
      <c r="P193" s="14"/>
      <c r="Q193" s="14"/>
      <c r="S193" s="8"/>
    </row>
    <row r="194">
      <c r="L194" s="14"/>
      <c r="M194" s="14"/>
      <c r="O194" s="14"/>
      <c r="P194" s="14"/>
      <c r="Q194" s="14"/>
      <c r="S194" s="8"/>
    </row>
    <row r="195">
      <c r="L195" s="14"/>
      <c r="M195" s="14"/>
      <c r="O195" s="14"/>
      <c r="P195" s="14"/>
      <c r="Q195" s="14"/>
      <c r="S195" s="8"/>
    </row>
    <row r="196">
      <c r="L196" s="14"/>
      <c r="M196" s="14"/>
      <c r="O196" s="14"/>
      <c r="P196" s="14"/>
      <c r="Q196" s="14"/>
      <c r="S196" s="8"/>
    </row>
    <row r="197">
      <c r="L197" s="14"/>
      <c r="M197" s="14"/>
      <c r="O197" s="14"/>
      <c r="P197" s="14"/>
      <c r="Q197" s="14"/>
      <c r="S197" s="8"/>
    </row>
    <row r="198">
      <c r="L198" s="14"/>
      <c r="M198" s="14"/>
      <c r="O198" s="14"/>
      <c r="P198" s="14"/>
      <c r="Q198" s="14"/>
      <c r="S198" s="8"/>
    </row>
    <row r="199">
      <c r="L199" s="14"/>
      <c r="M199" s="14"/>
      <c r="O199" s="14"/>
      <c r="P199" s="14"/>
      <c r="Q199" s="14"/>
      <c r="S199" s="8"/>
    </row>
    <row r="200">
      <c r="L200" s="14"/>
      <c r="M200" s="14"/>
      <c r="O200" s="14"/>
      <c r="P200" s="14"/>
      <c r="Q200" s="14"/>
      <c r="S200" s="8"/>
    </row>
    <row r="201">
      <c r="L201" s="14"/>
      <c r="M201" s="14"/>
      <c r="O201" s="14"/>
      <c r="P201" s="14"/>
      <c r="Q201" s="14"/>
      <c r="S201" s="8"/>
    </row>
    <row r="202">
      <c r="L202" s="14"/>
      <c r="M202" s="14"/>
      <c r="O202" s="14"/>
      <c r="P202" s="14"/>
      <c r="Q202" s="14"/>
      <c r="S202" s="8"/>
    </row>
    <row r="203">
      <c r="L203" s="14"/>
      <c r="M203" s="14"/>
      <c r="O203" s="14"/>
      <c r="P203" s="14"/>
      <c r="Q203" s="14"/>
      <c r="S203" s="8"/>
    </row>
    <row r="204">
      <c r="L204" s="14"/>
      <c r="M204" s="14"/>
      <c r="O204" s="14"/>
      <c r="P204" s="14"/>
      <c r="Q204" s="14"/>
      <c r="S204" s="8"/>
    </row>
    <row r="205">
      <c r="L205" s="14"/>
      <c r="M205" s="14"/>
      <c r="O205" s="14"/>
      <c r="P205" s="14"/>
      <c r="Q205" s="14"/>
      <c r="S205" s="8"/>
    </row>
    <row r="206">
      <c r="L206" s="14"/>
      <c r="M206" s="14"/>
      <c r="O206" s="14"/>
      <c r="P206" s="14"/>
      <c r="Q206" s="14"/>
      <c r="S206" s="8"/>
    </row>
    <row r="207">
      <c r="L207" s="14"/>
      <c r="M207" s="14"/>
      <c r="O207" s="14"/>
      <c r="P207" s="14"/>
      <c r="Q207" s="14"/>
      <c r="S207" s="8"/>
    </row>
    <row r="208">
      <c r="L208" s="14"/>
      <c r="M208" s="14"/>
      <c r="O208" s="14"/>
      <c r="P208" s="14"/>
      <c r="Q208" s="14"/>
      <c r="S208" s="8"/>
    </row>
    <row r="209">
      <c r="L209" s="14"/>
      <c r="M209" s="14"/>
      <c r="O209" s="14"/>
      <c r="P209" s="14"/>
      <c r="Q209" s="14"/>
      <c r="S209" s="8"/>
    </row>
    <row r="210">
      <c r="L210" s="14"/>
      <c r="M210" s="14"/>
      <c r="O210" s="14"/>
      <c r="P210" s="14"/>
      <c r="Q210" s="14"/>
      <c r="S210" s="8"/>
    </row>
    <row r="211">
      <c r="L211" s="14"/>
      <c r="M211" s="14"/>
      <c r="O211" s="14"/>
      <c r="P211" s="14"/>
      <c r="Q211" s="14"/>
      <c r="S211" s="8"/>
    </row>
    <row r="212">
      <c r="L212" s="14"/>
      <c r="M212" s="14"/>
      <c r="O212" s="14"/>
      <c r="P212" s="14"/>
      <c r="Q212" s="14"/>
      <c r="S212" s="8"/>
    </row>
    <row r="213">
      <c r="L213" s="14"/>
      <c r="M213" s="14"/>
      <c r="O213" s="14"/>
      <c r="P213" s="14"/>
      <c r="Q213" s="14"/>
      <c r="S213" s="8"/>
    </row>
    <row r="214">
      <c r="L214" s="14"/>
      <c r="M214" s="14"/>
      <c r="O214" s="14"/>
      <c r="P214" s="14"/>
      <c r="Q214" s="14"/>
      <c r="S214" s="8"/>
    </row>
    <row r="215">
      <c r="L215" s="14"/>
      <c r="M215" s="14"/>
      <c r="O215" s="14"/>
      <c r="P215" s="14"/>
      <c r="Q215" s="14"/>
      <c r="S215" s="8"/>
    </row>
    <row r="216">
      <c r="L216" s="14"/>
      <c r="M216" s="14"/>
      <c r="O216" s="14"/>
      <c r="P216" s="14"/>
      <c r="Q216" s="14"/>
      <c r="S216" s="8"/>
    </row>
    <row r="217">
      <c r="L217" s="14"/>
      <c r="M217" s="14"/>
      <c r="O217" s="14"/>
      <c r="P217" s="14"/>
      <c r="Q217" s="14"/>
      <c r="S217" s="8"/>
    </row>
    <row r="218">
      <c r="L218" s="14"/>
      <c r="M218" s="14"/>
      <c r="O218" s="14"/>
      <c r="P218" s="14"/>
      <c r="Q218" s="14"/>
      <c r="S218" s="8"/>
    </row>
    <row r="219">
      <c r="L219" s="14"/>
      <c r="M219" s="14"/>
      <c r="O219" s="14"/>
      <c r="P219" s="14"/>
      <c r="Q219" s="14"/>
      <c r="S219" s="8"/>
    </row>
    <row r="220">
      <c r="L220" s="14"/>
      <c r="M220" s="14"/>
      <c r="O220" s="14"/>
      <c r="P220" s="14"/>
      <c r="Q220" s="14"/>
      <c r="S220" s="8"/>
    </row>
    <row r="221">
      <c r="L221" s="14"/>
      <c r="M221" s="14"/>
      <c r="O221" s="14"/>
      <c r="P221" s="14"/>
      <c r="Q221" s="14"/>
      <c r="S221" s="8"/>
    </row>
    <row r="222">
      <c r="L222" s="14"/>
      <c r="M222" s="14"/>
      <c r="O222" s="14"/>
      <c r="P222" s="14"/>
      <c r="Q222" s="14"/>
      <c r="S222" s="8"/>
    </row>
    <row r="223">
      <c r="L223" s="14"/>
      <c r="M223" s="14"/>
      <c r="O223" s="14"/>
      <c r="P223" s="14"/>
      <c r="Q223" s="14"/>
      <c r="S223" s="8"/>
    </row>
    <row r="224">
      <c r="L224" s="14"/>
      <c r="M224" s="14"/>
      <c r="O224" s="14"/>
      <c r="P224" s="14"/>
      <c r="Q224" s="14"/>
      <c r="S224" s="8"/>
    </row>
    <row r="225">
      <c r="L225" s="14"/>
      <c r="M225" s="14"/>
      <c r="O225" s="14"/>
      <c r="P225" s="14"/>
      <c r="Q225" s="14"/>
      <c r="S225" s="8"/>
    </row>
    <row r="226">
      <c r="L226" s="14"/>
      <c r="M226" s="14"/>
      <c r="O226" s="14"/>
      <c r="P226" s="14"/>
      <c r="Q226" s="14"/>
      <c r="S226" s="8"/>
    </row>
    <row r="227">
      <c r="L227" s="14"/>
      <c r="M227" s="14"/>
      <c r="O227" s="14"/>
      <c r="P227" s="14"/>
      <c r="Q227" s="14"/>
      <c r="S227" s="8"/>
    </row>
    <row r="228">
      <c r="L228" s="14"/>
      <c r="M228" s="14"/>
      <c r="O228" s="14"/>
      <c r="P228" s="14"/>
      <c r="Q228" s="14"/>
      <c r="S228" s="8"/>
    </row>
    <row r="229">
      <c r="L229" s="14"/>
      <c r="M229" s="14"/>
      <c r="O229" s="14"/>
      <c r="P229" s="14"/>
      <c r="Q229" s="14"/>
      <c r="S229" s="8"/>
    </row>
    <row r="230">
      <c r="L230" s="14"/>
      <c r="M230" s="14"/>
      <c r="O230" s="14"/>
      <c r="P230" s="14"/>
      <c r="Q230" s="14"/>
      <c r="S230" s="8"/>
    </row>
    <row r="231">
      <c r="L231" s="14"/>
      <c r="M231" s="14"/>
      <c r="O231" s="14"/>
      <c r="P231" s="14"/>
      <c r="Q231" s="14"/>
      <c r="S231" s="8"/>
    </row>
    <row r="232">
      <c r="L232" s="14"/>
      <c r="M232" s="14"/>
      <c r="O232" s="14"/>
      <c r="P232" s="14"/>
      <c r="Q232" s="14"/>
      <c r="S232" s="8"/>
    </row>
    <row r="233">
      <c r="L233" s="14"/>
      <c r="M233" s="14"/>
      <c r="O233" s="14"/>
      <c r="P233" s="14"/>
      <c r="Q233" s="14"/>
      <c r="S233" s="8"/>
    </row>
    <row r="234">
      <c r="L234" s="14"/>
      <c r="M234" s="14"/>
      <c r="O234" s="14"/>
      <c r="P234" s="14"/>
      <c r="Q234" s="14"/>
      <c r="S234" s="8"/>
    </row>
    <row r="235">
      <c r="L235" s="14"/>
      <c r="M235" s="14"/>
      <c r="O235" s="14"/>
      <c r="P235" s="14"/>
      <c r="Q235" s="14"/>
      <c r="S235" s="8"/>
    </row>
    <row r="236">
      <c r="L236" s="14"/>
      <c r="M236" s="14"/>
      <c r="O236" s="14"/>
      <c r="P236" s="14"/>
      <c r="Q236" s="14"/>
      <c r="S236" s="8"/>
    </row>
    <row r="237">
      <c r="L237" s="14"/>
      <c r="M237" s="14"/>
      <c r="O237" s="14"/>
      <c r="P237" s="14"/>
      <c r="Q237" s="14"/>
      <c r="S237" s="8"/>
    </row>
    <row r="238">
      <c r="L238" s="14"/>
      <c r="M238" s="14"/>
      <c r="O238" s="14"/>
      <c r="P238" s="14"/>
      <c r="Q238" s="14"/>
      <c r="S238" s="8"/>
    </row>
    <row r="239">
      <c r="L239" s="14"/>
      <c r="M239" s="14"/>
      <c r="O239" s="14"/>
      <c r="P239" s="14"/>
      <c r="Q239" s="14"/>
      <c r="S239" s="8"/>
    </row>
    <row r="240">
      <c r="L240" s="14"/>
      <c r="M240" s="14"/>
      <c r="O240" s="14"/>
      <c r="P240" s="14"/>
      <c r="Q240" s="14"/>
      <c r="S240" s="8"/>
    </row>
    <row r="241">
      <c r="L241" s="14"/>
      <c r="M241" s="14"/>
      <c r="O241" s="14"/>
      <c r="P241" s="14"/>
      <c r="Q241" s="14"/>
      <c r="S241" s="8"/>
    </row>
    <row r="242">
      <c r="L242" s="14"/>
      <c r="M242" s="14"/>
      <c r="O242" s="14"/>
      <c r="P242" s="14"/>
      <c r="Q242" s="14"/>
      <c r="S242" s="8"/>
    </row>
    <row r="243">
      <c r="L243" s="14"/>
      <c r="M243" s="14"/>
      <c r="O243" s="14"/>
      <c r="P243" s="14"/>
      <c r="Q243" s="14"/>
      <c r="S243" s="8"/>
    </row>
    <row r="244">
      <c r="L244" s="14"/>
      <c r="M244" s="14"/>
      <c r="O244" s="14"/>
      <c r="P244" s="14"/>
      <c r="Q244" s="14"/>
      <c r="S244" s="8"/>
    </row>
    <row r="245">
      <c r="L245" s="14"/>
      <c r="M245" s="14"/>
      <c r="O245" s="14"/>
      <c r="P245" s="14"/>
      <c r="Q245" s="14"/>
      <c r="S245" s="8"/>
    </row>
    <row r="246">
      <c r="L246" s="14"/>
      <c r="M246" s="14"/>
      <c r="O246" s="14"/>
      <c r="P246" s="14"/>
      <c r="Q246" s="14"/>
      <c r="S246" s="8"/>
    </row>
    <row r="247">
      <c r="L247" s="14"/>
      <c r="M247" s="14"/>
      <c r="O247" s="14"/>
      <c r="P247" s="14"/>
      <c r="Q247" s="14"/>
      <c r="S247" s="8"/>
    </row>
    <row r="248">
      <c r="L248" s="14"/>
      <c r="M248" s="14"/>
      <c r="O248" s="14"/>
      <c r="P248" s="14"/>
      <c r="Q248" s="14"/>
      <c r="S248" s="8"/>
    </row>
    <row r="249">
      <c r="L249" s="14"/>
      <c r="M249" s="14"/>
      <c r="O249" s="14"/>
      <c r="P249" s="14"/>
      <c r="Q249" s="14"/>
      <c r="S249" s="8"/>
    </row>
    <row r="250">
      <c r="L250" s="14"/>
      <c r="M250" s="14"/>
      <c r="O250" s="14"/>
      <c r="P250" s="14"/>
      <c r="Q250" s="14"/>
      <c r="S250" s="8"/>
    </row>
    <row r="251">
      <c r="L251" s="14"/>
      <c r="M251" s="14"/>
      <c r="O251" s="14"/>
      <c r="P251" s="14"/>
      <c r="Q251" s="14"/>
      <c r="S251" s="8"/>
    </row>
    <row r="252">
      <c r="L252" s="14"/>
      <c r="M252" s="14"/>
      <c r="O252" s="14"/>
      <c r="P252" s="14"/>
      <c r="Q252" s="14"/>
      <c r="S252" s="8"/>
    </row>
    <row r="253">
      <c r="L253" s="14"/>
      <c r="M253" s="14"/>
      <c r="O253" s="14"/>
      <c r="P253" s="14"/>
      <c r="Q253" s="14"/>
      <c r="S253" s="8"/>
    </row>
    <row r="254">
      <c r="L254" s="14"/>
      <c r="M254" s="14"/>
      <c r="O254" s="14"/>
      <c r="P254" s="14"/>
      <c r="Q254" s="14"/>
      <c r="S254" s="8"/>
    </row>
    <row r="255">
      <c r="L255" s="14"/>
      <c r="M255" s="14"/>
      <c r="O255" s="14"/>
      <c r="P255" s="14"/>
      <c r="Q255" s="14"/>
      <c r="S255" s="8"/>
    </row>
    <row r="256">
      <c r="L256" s="14"/>
      <c r="M256" s="14"/>
      <c r="O256" s="14"/>
      <c r="P256" s="14"/>
      <c r="Q256" s="14"/>
      <c r="S256" s="8"/>
    </row>
    <row r="257">
      <c r="L257" s="14"/>
      <c r="M257" s="14"/>
      <c r="O257" s="14"/>
      <c r="P257" s="14"/>
      <c r="Q257" s="14"/>
      <c r="S257" s="8"/>
    </row>
    <row r="258">
      <c r="L258" s="14"/>
      <c r="M258" s="14"/>
      <c r="O258" s="14"/>
      <c r="P258" s="14"/>
      <c r="Q258" s="14"/>
      <c r="S258" s="8"/>
    </row>
    <row r="259">
      <c r="L259" s="14"/>
      <c r="M259" s="14"/>
      <c r="O259" s="14"/>
      <c r="P259" s="14"/>
      <c r="Q259" s="14"/>
      <c r="S259" s="8"/>
    </row>
    <row r="260">
      <c r="L260" s="14"/>
      <c r="M260" s="14"/>
      <c r="O260" s="14"/>
      <c r="P260" s="14"/>
      <c r="Q260" s="14"/>
      <c r="S260" s="8"/>
    </row>
    <row r="261">
      <c r="L261" s="14"/>
      <c r="M261" s="14"/>
      <c r="O261" s="14"/>
      <c r="P261" s="14"/>
      <c r="Q261" s="14"/>
      <c r="S261" s="8"/>
    </row>
    <row r="262">
      <c r="L262" s="14"/>
      <c r="M262" s="14"/>
      <c r="O262" s="14"/>
      <c r="P262" s="14"/>
      <c r="Q262" s="14"/>
      <c r="S262" s="8"/>
    </row>
    <row r="263">
      <c r="L263" s="14"/>
      <c r="M263" s="14"/>
      <c r="O263" s="14"/>
      <c r="P263" s="14"/>
      <c r="Q263" s="14"/>
      <c r="S263" s="8"/>
    </row>
    <row r="264">
      <c r="L264" s="14"/>
      <c r="M264" s="14"/>
      <c r="O264" s="14"/>
      <c r="P264" s="14"/>
      <c r="Q264" s="14"/>
      <c r="S264" s="8"/>
    </row>
    <row r="265">
      <c r="L265" s="14"/>
      <c r="M265" s="14"/>
      <c r="O265" s="14"/>
      <c r="P265" s="14"/>
      <c r="Q265" s="14"/>
      <c r="S265" s="8"/>
    </row>
    <row r="266">
      <c r="L266" s="14"/>
      <c r="M266" s="14"/>
      <c r="O266" s="14"/>
      <c r="P266" s="14"/>
      <c r="Q266" s="14"/>
      <c r="S266" s="8"/>
    </row>
    <row r="267">
      <c r="L267" s="14"/>
      <c r="M267" s="14"/>
      <c r="O267" s="14"/>
      <c r="P267" s="14"/>
      <c r="Q267" s="14"/>
      <c r="S267" s="8"/>
    </row>
    <row r="268">
      <c r="L268" s="14"/>
      <c r="M268" s="14"/>
      <c r="O268" s="14"/>
      <c r="P268" s="14"/>
      <c r="Q268" s="14"/>
      <c r="S268" s="8"/>
    </row>
    <row r="269">
      <c r="L269" s="14"/>
      <c r="M269" s="14"/>
      <c r="O269" s="14"/>
      <c r="P269" s="14"/>
      <c r="Q269" s="14"/>
      <c r="S269" s="8"/>
    </row>
    <row r="270">
      <c r="L270" s="14"/>
      <c r="M270" s="14"/>
      <c r="O270" s="14"/>
      <c r="P270" s="14"/>
      <c r="Q270" s="14"/>
      <c r="S270" s="8"/>
    </row>
    <row r="271">
      <c r="L271" s="14"/>
      <c r="M271" s="14"/>
      <c r="O271" s="14"/>
      <c r="P271" s="14"/>
      <c r="Q271" s="14"/>
      <c r="S271" s="8"/>
    </row>
    <row r="272">
      <c r="L272" s="14"/>
      <c r="M272" s="14"/>
      <c r="O272" s="14"/>
      <c r="P272" s="14"/>
      <c r="Q272" s="14"/>
      <c r="S272" s="8"/>
    </row>
    <row r="273">
      <c r="L273" s="14"/>
      <c r="M273" s="14"/>
      <c r="O273" s="14"/>
      <c r="P273" s="14"/>
      <c r="Q273" s="14"/>
      <c r="S273" s="8"/>
    </row>
    <row r="274">
      <c r="L274" s="14"/>
      <c r="M274" s="14"/>
      <c r="O274" s="14"/>
      <c r="P274" s="14"/>
      <c r="Q274" s="14"/>
      <c r="S274" s="8"/>
    </row>
    <row r="275">
      <c r="L275" s="14"/>
      <c r="M275" s="14"/>
      <c r="O275" s="14"/>
      <c r="P275" s="14"/>
      <c r="Q275" s="14"/>
      <c r="S275" s="8"/>
    </row>
    <row r="276">
      <c r="L276" s="14"/>
      <c r="M276" s="14"/>
      <c r="O276" s="14"/>
      <c r="P276" s="14"/>
      <c r="Q276" s="14"/>
      <c r="S276" s="8"/>
    </row>
    <row r="277">
      <c r="L277" s="14"/>
      <c r="M277" s="14"/>
      <c r="O277" s="14"/>
      <c r="P277" s="14"/>
      <c r="Q277" s="14"/>
      <c r="S277" s="8"/>
    </row>
    <row r="278">
      <c r="L278" s="14"/>
      <c r="M278" s="14"/>
      <c r="O278" s="14"/>
      <c r="P278" s="14"/>
      <c r="Q278" s="14"/>
      <c r="S278" s="8"/>
    </row>
    <row r="279">
      <c r="L279" s="14"/>
      <c r="M279" s="14"/>
      <c r="O279" s="14"/>
      <c r="P279" s="14"/>
      <c r="Q279" s="14"/>
      <c r="S279" s="8"/>
    </row>
    <row r="280">
      <c r="L280" s="14"/>
      <c r="M280" s="14"/>
      <c r="O280" s="14"/>
      <c r="P280" s="14"/>
      <c r="Q280" s="14"/>
      <c r="S280" s="8"/>
    </row>
    <row r="281">
      <c r="L281" s="14"/>
      <c r="M281" s="14"/>
      <c r="O281" s="14"/>
      <c r="P281" s="14"/>
      <c r="Q281" s="14"/>
      <c r="S281" s="8"/>
    </row>
    <row r="282">
      <c r="L282" s="14"/>
      <c r="M282" s="14"/>
      <c r="O282" s="14"/>
      <c r="P282" s="14"/>
      <c r="Q282" s="14"/>
      <c r="S282" s="8"/>
    </row>
    <row r="283">
      <c r="L283" s="14"/>
      <c r="M283" s="14"/>
      <c r="O283" s="14"/>
      <c r="P283" s="14"/>
      <c r="Q283" s="14"/>
      <c r="S283" s="8"/>
    </row>
    <row r="284">
      <c r="L284" s="14"/>
      <c r="M284" s="14"/>
      <c r="O284" s="14"/>
      <c r="P284" s="14"/>
      <c r="Q284" s="14"/>
      <c r="S284" s="8"/>
    </row>
    <row r="285">
      <c r="L285" s="14"/>
      <c r="M285" s="14"/>
      <c r="O285" s="14"/>
      <c r="P285" s="14"/>
      <c r="Q285" s="14"/>
      <c r="S285" s="8"/>
    </row>
    <row r="286">
      <c r="L286" s="14"/>
      <c r="M286" s="14"/>
      <c r="O286" s="14"/>
      <c r="P286" s="14"/>
      <c r="Q286" s="14"/>
      <c r="S286" s="8"/>
    </row>
    <row r="287">
      <c r="L287" s="14"/>
      <c r="M287" s="14"/>
      <c r="O287" s="14"/>
      <c r="P287" s="14"/>
      <c r="Q287" s="14"/>
      <c r="S287" s="8"/>
    </row>
    <row r="288">
      <c r="L288" s="14"/>
      <c r="M288" s="14"/>
      <c r="O288" s="14"/>
      <c r="P288" s="14"/>
      <c r="Q288" s="14"/>
      <c r="S288" s="8"/>
    </row>
    <row r="289">
      <c r="L289" s="14"/>
      <c r="M289" s="14"/>
      <c r="O289" s="14"/>
      <c r="P289" s="14"/>
      <c r="Q289" s="14"/>
      <c r="S289" s="8"/>
    </row>
    <row r="290">
      <c r="L290" s="14"/>
      <c r="M290" s="14"/>
      <c r="O290" s="14"/>
      <c r="P290" s="14"/>
      <c r="Q290" s="14"/>
      <c r="S290" s="8"/>
    </row>
    <row r="291">
      <c r="L291" s="14"/>
      <c r="M291" s="14"/>
      <c r="O291" s="14"/>
      <c r="P291" s="14"/>
      <c r="Q291" s="14"/>
      <c r="S291" s="8"/>
    </row>
    <row r="292">
      <c r="L292" s="14"/>
      <c r="M292" s="14"/>
      <c r="O292" s="14"/>
      <c r="P292" s="14"/>
      <c r="Q292" s="14"/>
      <c r="S292" s="8"/>
    </row>
    <row r="293">
      <c r="L293" s="14"/>
      <c r="M293" s="14"/>
      <c r="O293" s="14"/>
      <c r="P293" s="14"/>
      <c r="Q293" s="14"/>
      <c r="S293" s="8"/>
    </row>
    <row r="294">
      <c r="L294" s="14"/>
      <c r="M294" s="14"/>
      <c r="O294" s="14"/>
      <c r="P294" s="14"/>
      <c r="Q294" s="14"/>
      <c r="S294" s="8"/>
    </row>
    <row r="295">
      <c r="L295" s="14"/>
      <c r="M295" s="14"/>
      <c r="O295" s="14"/>
      <c r="P295" s="14"/>
      <c r="Q295" s="14"/>
      <c r="S295" s="8"/>
    </row>
    <row r="296">
      <c r="L296" s="14"/>
      <c r="M296" s="14"/>
      <c r="O296" s="14"/>
      <c r="P296" s="14"/>
      <c r="Q296" s="14"/>
      <c r="S296" s="8"/>
    </row>
    <row r="297">
      <c r="L297" s="14"/>
      <c r="M297" s="14"/>
      <c r="O297" s="14"/>
      <c r="P297" s="14"/>
      <c r="Q297" s="14"/>
      <c r="S297" s="8"/>
    </row>
    <row r="298">
      <c r="L298" s="14"/>
      <c r="M298" s="14"/>
      <c r="O298" s="14"/>
      <c r="P298" s="14"/>
      <c r="Q298" s="14"/>
      <c r="S298" s="8"/>
    </row>
    <row r="299">
      <c r="L299" s="14"/>
      <c r="M299" s="14"/>
      <c r="O299" s="14"/>
      <c r="P299" s="14"/>
      <c r="Q299" s="14"/>
      <c r="S299" s="8"/>
    </row>
    <row r="300">
      <c r="L300" s="14"/>
      <c r="M300" s="14"/>
      <c r="O300" s="14"/>
      <c r="P300" s="14"/>
      <c r="Q300" s="14"/>
      <c r="S300" s="8"/>
    </row>
    <row r="301">
      <c r="L301" s="14"/>
      <c r="M301" s="14"/>
      <c r="O301" s="14"/>
      <c r="P301" s="14"/>
      <c r="Q301" s="14"/>
      <c r="S301" s="8"/>
    </row>
    <row r="302">
      <c r="L302" s="14"/>
      <c r="M302" s="14"/>
      <c r="O302" s="14"/>
      <c r="P302" s="14"/>
      <c r="Q302" s="14"/>
      <c r="S302" s="8"/>
    </row>
    <row r="303">
      <c r="L303" s="14"/>
      <c r="M303" s="14"/>
      <c r="O303" s="14"/>
      <c r="P303" s="14"/>
      <c r="Q303" s="14"/>
      <c r="S303" s="8"/>
    </row>
    <row r="304">
      <c r="L304" s="14"/>
      <c r="M304" s="14"/>
      <c r="O304" s="14"/>
      <c r="P304" s="14"/>
      <c r="Q304" s="14"/>
      <c r="S304" s="8"/>
    </row>
    <row r="305">
      <c r="L305" s="14"/>
      <c r="M305" s="14"/>
      <c r="O305" s="14"/>
      <c r="P305" s="14"/>
      <c r="Q305" s="14"/>
      <c r="S305" s="8"/>
    </row>
    <row r="306">
      <c r="L306" s="14"/>
      <c r="M306" s="14"/>
      <c r="O306" s="14"/>
      <c r="P306" s="14"/>
      <c r="Q306" s="14"/>
      <c r="S306" s="8"/>
    </row>
    <row r="307">
      <c r="L307" s="14"/>
      <c r="M307" s="14"/>
      <c r="O307" s="14"/>
      <c r="P307" s="14"/>
      <c r="Q307" s="14"/>
      <c r="S307" s="8"/>
    </row>
    <row r="308">
      <c r="L308" s="14"/>
      <c r="M308" s="14"/>
      <c r="O308" s="14"/>
      <c r="P308" s="14"/>
      <c r="Q308" s="14"/>
      <c r="S308" s="8"/>
    </row>
    <row r="309">
      <c r="L309" s="14"/>
      <c r="M309" s="14"/>
      <c r="O309" s="14"/>
      <c r="P309" s="14"/>
      <c r="Q309" s="14"/>
      <c r="S309" s="8"/>
    </row>
    <row r="310">
      <c r="L310" s="14"/>
      <c r="M310" s="14"/>
      <c r="O310" s="14"/>
      <c r="P310" s="14"/>
      <c r="Q310" s="14"/>
      <c r="S310" s="8"/>
    </row>
    <row r="311">
      <c r="L311" s="14"/>
      <c r="M311" s="14"/>
      <c r="O311" s="14"/>
      <c r="P311" s="14"/>
      <c r="Q311" s="14"/>
      <c r="S311" s="8"/>
    </row>
    <row r="312">
      <c r="L312" s="14"/>
      <c r="M312" s="14"/>
      <c r="O312" s="14"/>
      <c r="P312" s="14"/>
      <c r="Q312" s="14"/>
      <c r="S312" s="8"/>
    </row>
    <row r="313">
      <c r="L313" s="14"/>
      <c r="M313" s="14"/>
      <c r="O313" s="14"/>
      <c r="P313" s="14"/>
      <c r="Q313" s="14"/>
      <c r="S313" s="8"/>
    </row>
    <row r="314">
      <c r="L314" s="14"/>
      <c r="M314" s="14"/>
      <c r="O314" s="14"/>
      <c r="P314" s="14"/>
      <c r="Q314" s="14"/>
      <c r="S314" s="8"/>
    </row>
    <row r="315">
      <c r="L315" s="14"/>
      <c r="M315" s="14"/>
      <c r="O315" s="14"/>
      <c r="P315" s="14"/>
      <c r="Q315" s="14"/>
      <c r="S315" s="8"/>
    </row>
    <row r="316">
      <c r="L316" s="14"/>
      <c r="M316" s="14"/>
      <c r="O316" s="14"/>
      <c r="P316" s="14"/>
      <c r="Q316" s="14"/>
      <c r="S316" s="8"/>
    </row>
    <row r="317">
      <c r="L317" s="14"/>
      <c r="M317" s="14"/>
      <c r="O317" s="14"/>
      <c r="P317" s="14"/>
      <c r="Q317" s="14"/>
      <c r="S317" s="8"/>
    </row>
    <row r="318">
      <c r="L318" s="14"/>
      <c r="M318" s="14"/>
      <c r="O318" s="14"/>
      <c r="P318" s="14"/>
      <c r="Q318" s="14"/>
      <c r="S318" s="8"/>
    </row>
    <row r="319">
      <c r="L319" s="14"/>
      <c r="M319" s="14"/>
      <c r="O319" s="14"/>
      <c r="P319" s="14"/>
      <c r="Q319" s="14"/>
      <c r="S319" s="8"/>
    </row>
    <row r="320">
      <c r="L320" s="14"/>
      <c r="M320" s="14"/>
      <c r="O320" s="14"/>
      <c r="P320" s="14"/>
      <c r="Q320" s="14"/>
      <c r="S320" s="8"/>
    </row>
    <row r="321">
      <c r="L321" s="14"/>
      <c r="M321" s="14"/>
      <c r="O321" s="14"/>
      <c r="P321" s="14"/>
      <c r="Q321" s="14"/>
      <c r="S321" s="8"/>
    </row>
    <row r="322">
      <c r="L322" s="14"/>
      <c r="M322" s="14"/>
      <c r="O322" s="14"/>
      <c r="P322" s="14"/>
      <c r="Q322" s="14"/>
      <c r="S322" s="8"/>
    </row>
    <row r="323">
      <c r="L323" s="14"/>
      <c r="M323" s="14"/>
      <c r="O323" s="14"/>
      <c r="P323" s="14"/>
      <c r="Q323" s="14"/>
      <c r="S323" s="8"/>
    </row>
    <row r="324">
      <c r="L324" s="14"/>
      <c r="M324" s="14"/>
      <c r="O324" s="14"/>
      <c r="P324" s="14"/>
      <c r="Q324" s="14"/>
      <c r="S324" s="8"/>
    </row>
    <row r="325">
      <c r="L325" s="14"/>
      <c r="M325" s="14"/>
      <c r="O325" s="14"/>
      <c r="P325" s="14"/>
      <c r="Q325" s="14"/>
      <c r="S325" s="8"/>
    </row>
    <row r="326">
      <c r="L326" s="14"/>
      <c r="M326" s="14"/>
      <c r="O326" s="14"/>
      <c r="P326" s="14"/>
      <c r="Q326" s="14"/>
      <c r="S326" s="8"/>
    </row>
    <row r="327">
      <c r="L327" s="14"/>
      <c r="M327" s="14"/>
      <c r="O327" s="14"/>
      <c r="P327" s="14"/>
      <c r="Q327" s="14"/>
      <c r="S327" s="8"/>
    </row>
    <row r="328">
      <c r="L328" s="14"/>
      <c r="M328" s="14"/>
      <c r="O328" s="14"/>
      <c r="P328" s="14"/>
      <c r="Q328" s="14"/>
      <c r="S328" s="8"/>
    </row>
    <row r="329">
      <c r="L329" s="14"/>
      <c r="M329" s="14"/>
      <c r="O329" s="14"/>
      <c r="P329" s="14"/>
      <c r="Q329" s="14"/>
      <c r="S329" s="8"/>
    </row>
    <row r="330">
      <c r="L330" s="14"/>
      <c r="M330" s="14"/>
      <c r="O330" s="14"/>
      <c r="P330" s="14"/>
      <c r="Q330" s="14"/>
      <c r="S330" s="8"/>
    </row>
    <row r="331">
      <c r="L331" s="14"/>
      <c r="M331" s="14"/>
      <c r="O331" s="14"/>
      <c r="P331" s="14"/>
      <c r="Q331" s="14"/>
      <c r="S331" s="8"/>
    </row>
    <row r="332">
      <c r="L332" s="14"/>
      <c r="M332" s="14"/>
      <c r="O332" s="14"/>
      <c r="P332" s="14"/>
      <c r="Q332" s="14"/>
      <c r="S332" s="8"/>
    </row>
    <row r="333">
      <c r="L333" s="14"/>
      <c r="M333" s="14"/>
      <c r="O333" s="14"/>
      <c r="P333" s="14"/>
      <c r="Q333" s="14"/>
      <c r="S333" s="8"/>
    </row>
    <row r="334">
      <c r="L334" s="14"/>
      <c r="M334" s="14"/>
      <c r="O334" s="14"/>
      <c r="P334" s="14"/>
      <c r="Q334" s="14"/>
      <c r="S334" s="8"/>
    </row>
    <row r="335">
      <c r="L335" s="14"/>
      <c r="M335" s="14"/>
      <c r="O335" s="14"/>
      <c r="P335" s="14"/>
      <c r="Q335" s="14"/>
      <c r="S335" s="8"/>
    </row>
    <row r="336">
      <c r="L336" s="14"/>
      <c r="M336" s="14"/>
      <c r="O336" s="14"/>
      <c r="P336" s="14"/>
      <c r="Q336" s="14"/>
      <c r="S336" s="8"/>
    </row>
    <row r="337">
      <c r="L337" s="14"/>
      <c r="M337" s="14"/>
      <c r="O337" s="14"/>
      <c r="P337" s="14"/>
      <c r="Q337" s="14"/>
      <c r="S337" s="8"/>
    </row>
    <row r="338">
      <c r="L338" s="14"/>
      <c r="M338" s="14"/>
      <c r="O338" s="14"/>
      <c r="P338" s="14"/>
      <c r="Q338" s="14"/>
      <c r="S338" s="8"/>
    </row>
    <row r="339">
      <c r="L339" s="14"/>
      <c r="M339" s="14"/>
      <c r="O339" s="14"/>
      <c r="P339" s="14"/>
      <c r="Q339" s="14"/>
      <c r="S339" s="8"/>
    </row>
    <row r="340">
      <c r="L340" s="14"/>
      <c r="M340" s="14"/>
      <c r="O340" s="14"/>
      <c r="P340" s="14"/>
      <c r="Q340" s="14"/>
      <c r="S340" s="8"/>
    </row>
    <row r="341">
      <c r="L341" s="14"/>
      <c r="M341" s="14"/>
      <c r="O341" s="14"/>
      <c r="P341" s="14"/>
      <c r="Q341" s="14"/>
      <c r="S341" s="8"/>
    </row>
    <row r="342">
      <c r="L342" s="14"/>
      <c r="M342" s="14"/>
      <c r="O342" s="14"/>
      <c r="P342" s="14"/>
      <c r="Q342" s="14"/>
      <c r="S342" s="8"/>
    </row>
    <row r="343">
      <c r="L343" s="14"/>
      <c r="M343" s="14"/>
      <c r="O343" s="14"/>
      <c r="P343" s="14"/>
      <c r="Q343" s="14"/>
      <c r="S343" s="8"/>
    </row>
    <row r="344">
      <c r="L344" s="14"/>
      <c r="M344" s="14"/>
      <c r="O344" s="14"/>
      <c r="P344" s="14"/>
      <c r="Q344" s="14"/>
      <c r="S344" s="8"/>
    </row>
    <row r="345">
      <c r="L345" s="14"/>
      <c r="M345" s="14"/>
      <c r="O345" s="14"/>
      <c r="P345" s="14"/>
      <c r="Q345" s="14"/>
      <c r="S345" s="8"/>
    </row>
    <row r="346">
      <c r="L346" s="14"/>
      <c r="M346" s="14"/>
      <c r="O346" s="14"/>
      <c r="P346" s="14"/>
      <c r="Q346" s="14"/>
      <c r="S346" s="8"/>
    </row>
    <row r="347">
      <c r="L347" s="14"/>
      <c r="M347" s="14"/>
      <c r="O347" s="14"/>
      <c r="P347" s="14"/>
      <c r="Q347" s="14"/>
      <c r="S347" s="8"/>
    </row>
    <row r="348">
      <c r="L348" s="14"/>
      <c r="M348" s="14"/>
      <c r="O348" s="14"/>
      <c r="P348" s="14"/>
      <c r="Q348" s="14"/>
      <c r="S348" s="8"/>
    </row>
    <row r="349">
      <c r="L349" s="14"/>
      <c r="M349" s="14"/>
      <c r="O349" s="14"/>
      <c r="P349" s="14"/>
      <c r="Q349" s="14"/>
      <c r="S349" s="8"/>
    </row>
    <row r="350">
      <c r="L350" s="14"/>
      <c r="M350" s="14"/>
      <c r="O350" s="14"/>
      <c r="P350" s="14"/>
      <c r="Q350" s="14"/>
      <c r="S350" s="8"/>
    </row>
    <row r="351">
      <c r="L351" s="14"/>
      <c r="M351" s="14"/>
      <c r="O351" s="14"/>
      <c r="P351" s="14"/>
      <c r="Q351" s="14"/>
      <c r="S351" s="8"/>
    </row>
    <row r="352">
      <c r="L352" s="14"/>
      <c r="M352" s="14"/>
      <c r="O352" s="14"/>
      <c r="P352" s="14"/>
      <c r="Q352" s="14"/>
      <c r="S352" s="8"/>
    </row>
    <row r="353">
      <c r="L353" s="14"/>
      <c r="M353" s="14"/>
      <c r="O353" s="14"/>
      <c r="P353" s="14"/>
      <c r="Q353" s="14"/>
      <c r="S353" s="8"/>
    </row>
    <row r="354">
      <c r="L354" s="14"/>
      <c r="M354" s="14"/>
      <c r="O354" s="14"/>
      <c r="P354" s="14"/>
      <c r="Q354" s="14"/>
      <c r="S354" s="8"/>
    </row>
    <row r="355">
      <c r="L355" s="14"/>
      <c r="M355" s="14"/>
      <c r="O355" s="14"/>
      <c r="P355" s="14"/>
      <c r="Q355" s="14"/>
      <c r="S355" s="8"/>
    </row>
    <row r="356">
      <c r="L356" s="14"/>
      <c r="M356" s="14"/>
      <c r="O356" s="14"/>
      <c r="P356" s="14"/>
      <c r="Q356" s="14"/>
      <c r="S356" s="8"/>
    </row>
    <row r="357">
      <c r="L357" s="14"/>
      <c r="M357" s="14"/>
      <c r="O357" s="14"/>
      <c r="P357" s="14"/>
      <c r="Q357" s="14"/>
      <c r="S357" s="8"/>
    </row>
    <row r="358">
      <c r="L358" s="14"/>
      <c r="M358" s="14"/>
      <c r="O358" s="14"/>
      <c r="P358" s="14"/>
      <c r="Q358" s="14"/>
      <c r="S358" s="8"/>
    </row>
    <row r="359">
      <c r="L359" s="14"/>
      <c r="M359" s="14"/>
      <c r="O359" s="14"/>
      <c r="P359" s="14"/>
      <c r="Q359" s="14"/>
      <c r="S359" s="8"/>
    </row>
    <row r="360">
      <c r="L360" s="14"/>
      <c r="M360" s="14"/>
      <c r="O360" s="14"/>
      <c r="P360" s="14"/>
      <c r="Q360" s="14"/>
      <c r="S360" s="8"/>
    </row>
    <row r="361">
      <c r="L361" s="14"/>
      <c r="M361" s="14"/>
      <c r="O361" s="14"/>
      <c r="P361" s="14"/>
      <c r="Q361" s="14"/>
      <c r="S361" s="8"/>
    </row>
    <row r="362">
      <c r="L362" s="14"/>
      <c r="M362" s="14"/>
      <c r="O362" s="14"/>
      <c r="P362" s="14"/>
      <c r="Q362" s="14"/>
      <c r="S362" s="8"/>
    </row>
    <row r="363">
      <c r="L363" s="14"/>
      <c r="M363" s="14"/>
      <c r="O363" s="14"/>
      <c r="P363" s="14"/>
      <c r="Q363" s="14"/>
      <c r="S363" s="8"/>
    </row>
    <row r="364">
      <c r="L364" s="14"/>
      <c r="M364" s="14"/>
      <c r="O364" s="14"/>
      <c r="P364" s="14"/>
      <c r="Q364" s="14"/>
      <c r="S364" s="8"/>
    </row>
    <row r="365">
      <c r="L365" s="14"/>
      <c r="M365" s="14"/>
      <c r="O365" s="14"/>
      <c r="P365" s="14"/>
      <c r="Q365" s="14"/>
      <c r="S365" s="8"/>
    </row>
    <row r="366">
      <c r="L366" s="14"/>
      <c r="M366" s="14"/>
      <c r="O366" s="14"/>
      <c r="P366" s="14"/>
      <c r="Q366" s="14"/>
      <c r="S366" s="8"/>
    </row>
    <row r="367">
      <c r="L367" s="14"/>
      <c r="M367" s="14"/>
      <c r="O367" s="14"/>
      <c r="P367" s="14"/>
      <c r="Q367" s="14"/>
      <c r="S367" s="8"/>
    </row>
    <row r="368">
      <c r="L368" s="14"/>
      <c r="M368" s="14"/>
      <c r="O368" s="14"/>
      <c r="P368" s="14"/>
      <c r="Q368" s="14"/>
      <c r="S368" s="8"/>
    </row>
    <row r="369">
      <c r="L369" s="14"/>
      <c r="M369" s="14"/>
      <c r="O369" s="14"/>
      <c r="P369" s="14"/>
      <c r="Q369" s="14"/>
      <c r="S369" s="8"/>
    </row>
    <row r="370">
      <c r="L370" s="14"/>
      <c r="M370" s="14"/>
      <c r="O370" s="14"/>
      <c r="P370" s="14"/>
      <c r="Q370" s="14"/>
      <c r="S370" s="8"/>
    </row>
    <row r="371">
      <c r="L371" s="14"/>
      <c r="M371" s="14"/>
      <c r="O371" s="14"/>
      <c r="P371" s="14"/>
      <c r="Q371" s="14"/>
      <c r="S371" s="8"/>
    </row>
    <row r="372">
      <c r="L372" s="14"/>
      <c r="M372" s="14"/>
      <c r="O372" s="14"/>
      <c r="P372" s="14"/>
      <c r="Q372" s="14"/>
      <c r="S372" s="8"/>
    </row>
    <row r="373">
      <c r="L373" s="14"/>
      <c r="M373" s="14"/>
      <c r="O373" s="14"/>
      <c r="P373" s="14"/>
      <c r="Q373" s="14"/>
      <c r="S373" s="8"/>
    </row>
    <row r="374">
      <c r="L374" s="14"/>
      <c r="M374" s="14"/>
      <c r="O374" s="14"/>
      <c r="P374" s="14"/>
      <c r="Q374" s="14"/>
      <c r="S374" s="8"/>
    </row>
    <row r="375">
      <c r="L375" s="14"/>
      <c r="M375" s="14"/>
      <c r="O375" s="14"/>
      <c r="P375" s="14"/>
      <c r="Q375" s="14"/>
      <c r="S375" s="8"/>
    </row>
    <row r="376">
      <c r="L376" s="14"/>
      <c r="M376" s="14"/>
      <c r="O376" s="14"/>
      <c r="P376" s="14"/>
      <c r="Q376" s="14"/>
      <c r="S376" s="8"/>
    </row>
    <row r="377">
      <c r="L377" s="14"/>
      <c r="M377" s="14"/>
      <c r="O377" s="14"/>
      <c r="P377" s="14"/>
      <c r="Q377" s="14"/>
      <c r="S377" s="8"/>
    </row>
    <row r="378">
      <c r="L378" s="14"/>
      <c r="M378" s="14"/>
      <c r="O378" s="14"/>
      <c r="P378" s="14"/>
      <c r="Q378" s="14"/>
      <c r="S378" s="8"/>
    </row>
    <row r="379">
      <c r="L379" s="14"/>
      <c r="M379" s="14"/>
      <c r="O379" s="14"/>
      <c r="P379" s="14"/>
      <c r="Q379" s="14"/>
      <c r="S379" s="8"/>
    </row>
    <row r="380">
      <c r="L380" s="14"/>
      <c r="M380" s="14"/>
      <c r="O380" s="14"/>
      <c r="P380" s="14"/>
      <c r="Q380" s="14"/>
      <c r="S380" s="8"/>
    </row>
    <row r="381">
      <c r="L381" s="14"/>
      <c r="M381" s="14"/>
      <c r="O381" s="14"/>
      <c r="P381" s="14"/>
      <c r="Q381" s="14"/>
      <c r="S381" s="8"/>
    </row>
    <row r="382">
      <c r="L382" s="14"/>
      <c r="M382" s="14"/>
      <c r="O382" s="14"/>
      <c r="P382" s="14"/>
      <c r="Q382" s="14"/>
      <c r="S382" s="8"/>
    </row>
    <row r="383">
      <c r="L383" s="14"/>
      <c r="M383" s="14"/>
      <c r="O383" s="14"/>
      <c r="P383" s="14"/>
      <c r="Q383" s="14"/>
      <c r="S383" s="8"/>
    </row>
    <row r="384">
      <c r="L384" s="14"/>
      <c r="M384" s="14"/>
      <c r="O384" s="14"/>
      <c r="P384" s="14"/>
      <c r="Q384" s="14"/>
      <c r="S384" s="8"/>
    </row>
    <row r="385">
      <c r="L385" s="14"/>
      <c r="M385" s="14"/>
      <c r="O385" s="14"/>
      <c r="P385" s="14"/>
      <c r="Q385" s="14"/>
      <c r="S385" s="8"/>
    </row>
    <row r="386">
      <c r="L386" s="14"/>
      <c r="M386" s="14"/>
      <c r="O386" s="14"/>
      <c r="P386" s="14"/>
      <c r="Q386" s="14"/>
      <c r="S386" s="8"/>
    </row>
    <row r="387">
      <c r="L387" s="14"/>
      <c r="M387" s="14"/>
      <c r="O387" s="14"/>
      <c r="P387" s="14"/>
      <c r="Q387" s="14"/>
      <c r="S387" s="8"/>
    </row>
    <row r="388">
      <c r="L388" s="14"/>
      <c r="M388" s="14"/>
      <c r="O388" s="14"/>
      <c r="P388" s="14"/>
      <c r="Q388" s="14"/>
      <c r="S388" s="8"/>
    </row>
    <row r="389">
      <c r="L389" s="14"/>
      <c r="M389" s="14"/>
      <c r="O389" s="14"/>
      <c r="P389" s="14"/>
      <c r="Q389" s="14"/>
      <c r="S389" s="8"/>
    </row>
    <row r="390">
      <c r="L390" s="14"/>
      <c r="M390" s="14"/>
      <c r="O390" s="14"/>
      <c r="P390" s="14"/>
      <c r="Q390" s="14"/>
      <c r="S390" s="8"/>
    </row>
    <row r="391">
      <c r="L391" s="14"/>
      <c r="M391" s="14"/>
      <c r="O391" s="14"/>
      <c r="P391" s="14"/>
      <c r="Q391" s="14"/>
      <c r="S391" s="8"/>
    </row>
    <row r="392">
      <c r="L392" s="14"/>
      <c r="M392" s="14"/>
      <c r="O392" s="14"/>
      <c r="P392" s="14"/>
      <c r="Q392" s="14"/>
      <c r="S392" s="8"/>
    </row>
    <row r="393">
      <c r="L393" s="14"/>
      <c r="M393" s="14"/>
      <c r="O393" s="14"/>
      <c r="P393" s="14"/>
      <c r="Q393" s="14"/>
      <c r="S393" s="8"/>
    </row>
    <row r="394">
      <c r="L394" s="14"/>
      <c r="M394" s="14"/>
      <c r="O394" s="14"/>
      <c r="P394" s="14"/>
      <c r="Q394" s="14"/>
      <c r="S394" s="8"/>
    </row>
    <row r="395">
      <c r="L395" s="14"/>
      <c r="M395" s="14"/>
      <c r="O395" s="14"/>
      <c r="P395" s="14"/>
      <c r="Q395" s="14"/>
      <c r="S395" s="8"/>
    </row>
    <row r="396">
      <c r="L396" s="14"/>
      <c r="M396" s="14"/>
      <c r="O396" s="14"/>
      <c r="P396" s="14"/>
      <c r="Q396" s="14"/>
      <c r="S396" s="8"/>
    </row>
    <row r="397">
      <c r="L397" s="14"/>
      <c r="M397" s="14"/>
      <c r="O397" s="14"/>
      <c r="P397" s="14"/>
      <c r="Q397" s="14"/>
      <c r="S397" s="8"/>
    </row>
    <row r="398">
      <c r="L398" s="14"/>
      <c r="M398" s="14"/>
      <c r="O398" s="14"/>
      <c r="P398" s="14"/>
      <c r="Q398" s="14"/>
      <c r="S398" s="8"/>
    </row>
    <row r="399">
      <c r="L399" s="14"/>
      <c r="M399" s="14"/>
      <c r="O399" s="14"/>
      <c r="P399" s="14"/>
      <c r="Q399" s="14"/>
      <c r="S399" s="8"/>
    </row>
    <row r="400">
      <c r="L400" s="14"/>
      <c r="M400" s="14"/>
      <c r="O400" s="14"/>
      <c r="P400" s="14"/>
      <c r="Q400" s="14"/>
      <c r="S400" s="8"/>
    </row>
    <row r="401">
      <c r="L401" s="14"/>
      <c r="M401" s="14"/>
      <c r="O401" s="14"/>
      <c r="P401" s="14"/>
      <c r="Q401" s="14"/>
      <c r="S401" s="8"/>
    </row>
    <row r="402">
      <c r="L402" s="14"/>
      <c r="M402" s="14"/>
      <c r="O402" s="14"/>
      <c r="P402" s="14"/>
      <c r="Q402" s="14"/>
      <c r="S402" s="8"/>
    </row>
    <row r="403">
      <c r="L403" s="14"/>
      <c r="M403" s="14"/>
      <c r="O403" s="14"/>
      <c r="P403" s="14"/>
      <c r="Q403" s="14"/>
      <c r="S403" s="8"/>
    </row>
    <row r="404">
      <c r="L404" s="14"/>
      <c r="M404" s="14"/>
      <c r="O404" s="14"/>
      <c r="P404" s="14"/>
      <c r="Q404" s="14"/>
      <c r="S404" s="8"/>
    </row>
    <row r="405">
      <c r="L405" s="14"/>
      <c r="M405" s="14"/>
      <c r="O405" s="14"/>
      <c r="P405" s="14"/>
      <c r="Q405" s="14"/>
      <c r="S405" s="8"/>
    </row>
    <row r="406">
      <c r="L406" s="14"/>
      <c r="M406" s="14"/>
      <c r="O406" s="14"/>
      <c r="P406" s="14"/>
      <c r="Q406" s="14"/>
      <c r="S406" s="8"/>
    </row>
    <row r="407">
      <c r="L407" s="14"/>
      <c r="M407" s="14"/>
      <c r="O407" s="14"/>
      <c r="P407" s="14"/>
      <c r="Q407" s="14"/>
      <c r="S407" s="8"/>
    </row>
    <row r="408">
      <c r="L408" s="14"/>
      <c r="M408" s="14"/>
      <c r="O408" s="14"/>
      <c r="P408" s="14"/>
      <c r="Q408" s="14"/>
      <c r="S408" s="8"/>
    </row>
    <row r="409">
      <c r="L409" s="14"/>
      <c r="M409" s="14"/>
      <c r="O409" s="14"/>
      <c r="P409" s="14"/>
      <c r="Q409" s="14"/>
      <c r="S409" s="8"/>
    </row>
    <row r="410">
      <c r="L410" s="14"/>
      <c r="M410" s="14"/>
      <c r="O410" s="14"/>
      <c r="P410" s="14"/>
      <c r="Q410" s="14"/>
      <c r="S410" s="8"/>
    </row>
    <row r="411">
      <c r="L411" s="14"/>
      <c r="M411" s="14"/>
      <c r="O411" s="14"/>
      <c r="P411" s="14"/>
      <c r="Q411" s="14"/>
      <c r="S411" s="8"/>
    </row>
    <row r="412">
      <c r="L412" s="14"/>
      <c r="M412" s="14"/>
      <c r="O412" s="14"/>
      <c r="P412" s="14"/>
      <c r="Q412" s="14"/>
      <c r="S412" s="8"/>
    </row>
    <row r="413">
      <c r="L413" s="14"/>
      <c r="M413" s="14"/>
      <c r="O413" s="14"/>
      <c r="P413" s="14"/>
      <c r="Q413" s="14"/>
      <c r="S413" s="8"/>
    </row>
    <row r="414">
      <c r="L414" s="14"/>
      <c r="M414" s="14"/>
      <c r="O414" s="14"/>
      <c r="P414" s="14"/>
      <c r="Q414" s="14"/>
      <c r="S414" s="8"/>
    </row>
    <row r="415">
      <c r="L415" s="14"/>
      <c r="M415" s="14"/>
      <c r="O415" s="14"/>
      <c r="P415" s="14"/>
      <c r="Q415" s="14"/>
      <c r="S415" s="8"/>
    </row>
    <row r="416">
      <c r="L416" s="14"/>
      <c r="M416" s="14"/>
      <c r="O416" s="14"/>
      <c r="P416" s="14"/>
      <c r="Q416" s="14"/>
      <c r="S416" s="8"/>
    </row>
    <row r="417">
      <c r="L417" s="14"/>
      <c r="M417" s="14"/>
      <c r="O417" s="14"/>
      <c r="P417" s="14"/>
      <c r="Q417" s="14"/>
      <c r="S417" s="8"/>
    </row>
    <row r="418">
      <c r="L418" s="14"/>
      <c r="M418" s="14"/>
      <c r="O418" s="14"/>
      <c r="P418" s="14"/>
      <c r="Q418" s="14"/>
      <c r="S418" s="8"/>
    </row>
    <row r="419">
      <c r="L419" s="14"/>
      <c r="M419" s="14"/>
      <c r="O419" s="14"/>
      <c r="P419" s="14"/>
      <c r="Q419" s="14"/>
      <c r="S419" s="8"/>
    </row>
    <row r="420">
      <c r="L420" s="14"/>
      <c r="M420" s="14"/>
      <c r="O420" s="14"/>
      <c r="P420" s="14"/>
      <c r="Q420" s="14"/>
      <c r="S420" s="8"/>
    </row>
    <row r="421">
      <c r="L421" s="14"/>
      <c r="M421" s="14"/>
      <c r="O421" s="14"/>
      <c r="P421" s="14"/>
      <c r="Q421" s="14"/>
      <c r="S421" s="8"/>
    </row>
    <row r="422">
      <c r="L422" s="14"/>
      <c r="M422" s="14"/>
      <c r="O422" s="14"/>
      <c r="P422" s="14"/>
      <c r="Q422" s="14"/>
      <c r="S422" s="8"/>
    </row>
    <row r="423">
      <c r="L423" s="14"/>
      <c r="M423" s="14"/>
      <c r="O423" s="14"/>
      <c r="P423" s="14"/>
      <c r="Q423" s="14"/>
      <c r="S423" s="8"/>
    </row>
    <row r="424">
      <c r="L424" s="14"/>
      <c r="M424" s="14"/>
      <c r="O424" s="14"/>
      <c r="P424" s="14"/>
      <c r="Q424" s="14"/>
      <c r="S424" s="8"/>
    </row>
    <row r="425">
      <c r="L425" s="14"/>
      <c r="M425" s="14"/>
      <c r="O425" s="14"/>
      <c r="P425" s="14"/>
      <c r="Q425" s="14"/>
      <c r="S425" s="8"/>
    </row>
    <row r="426">
      <c r="L426" s="14"/>
      <c r="M426" s="14"/>
      <c r="O426" s="14"/>
      <c r="P426" s="14"/>
      <c r="Q426" s="14"/>
      <c r="S426" s="8"/>
    </row>
    <row r="427">
      <c r="L427" s="14"/>
      <c r="M427" s="14"/>
      <c r="O427" s="14"/>
      <c r="P427" s="14"/>
      <c r="Q427" s="14"/>
      <c r="S427" s="8"/>
    </row>
    <row r="428">
      <c r="L428" s="14"/>
      <c r="M428" s="14"/>
      <c r="O428" s="14"/>
      <c r="P428" s="14"/>
      <c r="Q428" s="14"/>
      <c r="S428" s="8"/>
    </row>
    <row r="429">
      <c r="L429" s="14"/>
      <c r="M429" s="14"/>
      <c r="O429" s="14"/>
      <c r="P429" s="14"/>
      <c r="Q429" s="14"/>
      <c r="S429" s="8"/>
    </row>
    <row r="430">
      <c r="L430" s="14"/>
      <c r="M430" s="14"/>
      <c r="O430" s="14"/>
      <c r="P430" s="14"/>
      <c r="Q430" s="14"/>
      <c r="S430" s="8"/>
    </row>
    <row r="431">
      <c r="L431" s="14"/>
      <c r="M431" s="14"/>
      <c r="O431" s="14"/>
      <c r="P431" s="14"/>
      <c r="Q431" s="14"/>
      <c r="S431" s="8"/>
    </row>
    <row r="432">
      <c r="L432" s="14"/>
      <c r="M432" s="14"/>
      <c r="O432" s="14"/>
      <c r="P432" s="14"/>
      <c r="Q432" s="14"/>
      <c r="S432" s="8"/>
    </row>
    <row r="433">
      <c r="L433" s="14"/>
      <c r="M433" s="14"/>
      <c r="O433" s="14"/>
      <c r="P433" s="14"/>
      <c r="Q433" s="14"/>
      <c r="S433" s="8"/>
    </row>
    <row r="434">
      <c r="L434" s="14"/>
      <c r="M434" s="14"/>
      <c r="O434" s="14"/>
      <c r="P434" s="14"/>
      <c r="Q434" s="14"/>
      <c r="S434" s="8"/>
    </row>
    <row r="435">
      <c r="L435" s="14"/>
      <c r="M435" s="14"/>
      <c r="O435" s="14"/>
      <c r="P435" s="14"/>
      <c r="Q435" s="14"/>
      <c r="S435" s="8"/>
    </row>
    <row r="436">
      <c r="L436" s="14"/>
      <c r="M436" s="14"/>
      <c r="O436" s="14"/>
      <c r="P436" s="14"/>
      <c r="Q436" s="14"/>
      <c r="S436" s="8"/>
    </row>
    <row r="437">
      <c r="L437" s="14"/>
      <c r="M437" s="14"/>
      <c r="O437" s="14"/>
      <c r="P437" s="14"/>
      <c r="Q437" s="14"/>
      <c r="S437" s="8"/>
    </row>
    <row r="438">
      <c r="L438" s="14"/>
      <c r="M438" s="14"/>
      <c r="O438" s="14"/>
      <c r="P438" s="14"/>
      <c r="Q438" s="14"/>
      <c r="S438" s="8"/>
    </row>
    <row r="439">
      <c r="L439" s="14"/>
      <c r="M439" s="14"/>
      <c r="O439" s="14"/>
      <c r="P439" s="14"/>
      <c r="Q439" s="14"/>
      <c r="S439" s="8"/>
    </row>
    <row r="440">
      <c r="L440" s="14"/>
      <c r="M440" s="14"/>
      <c r="O440" s="14"/>
      <c r="P440" s="14"/>
      <c r="Q440" s="14"/>
      <c r="S440" s="8"/>
    </row>
    <row r="441">
      <c r="L441" s="14"/>
      <c r="M441" s="14"/>
      <c r="O441" s="14"/>
      <c r="P441" s="14"/>
      <c r="Q441" s="14"/>
      <c r="S441" s="8"/>
    </row>
    <row r="442">
      <c r="L442" s="14"/>
      <c r="M442" s="14"/>
      <c r="O442" s="14"/>
      <c r="P442" s="14"/>
      <c r="Q442" s="14"/>
      <c r="S442" s="8"/>
    </row>
    <row r="443">
      <c r="L443" s="14"/>
      <c r="M443" s="14"/>
      <c r="O443" s="14"/>
      <c r="P443" s="14"/>
      <c r="Q443" s="14"/>
      <c r="S443" s="8"/>
    </row>
    <row r="444">
      <c r="L444" s="14"/>
      <c r="M444" s="14"/>
      <c r="O444" s="14"/>
      <c r="P444" s="14"/>
      <c r="Q444" s="14"/>
      <c r="S444" s="8"/>
    </row>
    <row r="445">
      <c r="L445" s="14"/>
      <c r="M445" s="14"/>
      <c r="O445" s="14"/>
      <c r="P445" s="14"/>
      <c r="Q445" s="14"/>
      <c r="S445" s="8"/>
    </row>
    <row r="446">
      <c r="L446" s="14"/>
      <c r="M446" s="14"/>
      <c r="O446" s="14"/>
      <c r="P446" s="14"/>
      <c r="Q446" s="14"/>
      <c r="S446" s="8"/>
    </row>
    <row r="447">
      <c r="L447" s="14"/>
      <c r="M447" s="14"/>
      <c r="O447" s="14"/>
      <c r="P447" s="14"/>
      <c r="Q447" s="14"/>
      <c r="S447" s="8"/>
    </row>
    <row r="448">
      <c r="L448" s="14"/>
      <c r="M448" s="14"/>
      <c r="O448" s="14"/>
      <c r="P448" s="14"/>
      <c r="Q448" s="14"/>
      <c r="S448" s="8"/>
    </row>
    <row r="449">
      <c r="L449" s="14"/>
      <c r="M449" s="14"/>
      <c r="O449" s="14"/>
      <c r="P449" s="14"/>
      <c r="Q449" s="14"/>
      <c r="S449" s="8"/>
    </row>
    <row r="450">
      <c r="L450" s="14"/>
      <c r="M450" s="14"/>
      <c r="O450" s="14"/>
      <c r="P450" s="14"/>
      <c r="Q450" s="14"/>
      <c r="S450" s="8"/>
    </row>
    <row r="451">
      <c r="L451" s="14"/>
      <c r="M451" s="14"/>
      <c r="O451" s="14"/>
      <c r="P451" s="14"/>
      <c r="Q451" s="14"/>
      <c r="S451" s="8"/>
    </row>
    <row r="452">
      <c r="L452" s="14"/>
      <c r="M452" s="14"/>
      <c r="O452" s="14"/>
      <c r="P452" s="14"/>
      <c r="Q452" s="14"/>
      <c r="S452" s="8"/>
    </row>
    <row r="453">
      <c r="L453" s="14"/>
      <c r="M453" s="14"/>
      <c r="O453" s="14"/>
      <c r="P453" s="14"/>
      <c r="Q453" s="14"/>
      <c r="S453" s="8"/>
    </row>
    <row r="454">
      <c r="L454" s="14"/>
      <c r="M454" s="14"/>
      <c r="O454" s="14"/>
      <c r="P454" s="14"/>
      <c r="Q454" s="14"/>
      <c r="S454" s="8"/>
    </row>
    <row r="455">
      <c r="L455" s="14"/>
      <c r="M455" s="14"/>
      <c r="O455" s="14"/>
      <c r="P455" s="14"/>
      <c r="Q455" s="14"/>
      <c r="S455" s="8"/>
    </row>
    <row r="456">
      <c r="L456" s="14"/>
      <c r="M456" s="14"/>
      <c r="O456" s="14"/>
      <c r="P456" s="14"/>
      <c r="Q456" s="14"/>
      <c r="S456" s="8"/>
    </row>
    <row r="457">
      <c r="L457" s="14"/>
      <c r="M457" s="14"/>
      <c r="O457" s="14"/>
      <c r="P457" s="14"/>
      <c r="Q457" s="14"/>
      <c r="S457" s="8"/>
    </row>
    <row r="458">
      <c r="L458" s="14"/>
      <c r="M458" s="14"/>
      <c r="O458" s="14"/>
      <c r="P458" s="14"/>
      <c r="Q458" s="14"/>
      <c r="S458" s="8"/>
    </row>
    <row r="459">
      <c r="L459" s="14"/>
      <c r="M459" s="14"/>
      <c r="O459" s="14"/>
      <c r="P459" s="14"/>
      <c r="Q459" s="14"/>
      <c r="S459" s="8"/>
    </row>
    <row r="460">
      <c r="L460" s="14"/>
      <c r="M460" s="14"/>
      <c r="O460" s="14"/>
      <c r="P460" s="14"/>
      <c r="Q460" s="14"/>
      <c r="S460" s="8"/>
    </row>
    <row r="461">
      <c r="L461" s="14"/>
      <c r="M461" s="14"/>
      <c r="O461" s="14"/>
      <c r="P461" s="14"/>
      <c r="Q461" s="14"/>
      <c r="S461" s="8"/>
    </row>
    <row r="462">
      <c r="L462" s="14"/>
      <c r="M462" s="14"/>
      <c r="O462" s="14"/>
      <c r="P462" s="14"/>
      <c r="Q462" s="14"/>
      <c r="S462" s="8"/>
    </row>
    <row r="463">
      <c r="L463" s="14"/>
      <c r="M463" s="14"/>
      <c r="O463" s="14"/>
      <c r="P463" s="14"/>
      <c r="Q463" s="14"/>
      <c r="S463" s="8"/>
    </row>
    <row r="464">
      <c r="L464" s="14"/>
      <c r="M464" s="14"/>
      <c r="O464" s="14"/>
      <c r="P464" s="14"/>
      <c r="Q464" s="14"/>
      <c r="S464" s="8"/>
    </row>
    <row r="465">
      <c r="L465" s="14"/>
      <c r="M465" s="14"/>
      <c r="O465" s="14"/>
      <c r="P465" s="14"/>
      <c r="Q465" s="14"/>
      <c r="S465" s="8"/>
    </row>
    <row r="466">
      <c r="L466" s="14"/>
      <c r="M466" s="14"/>
      <c r="O466" s="14"/>
      <c r="P466" s="14"/>
      <c r="Q466" s="14"/>
      <c r="S466" s="8"/>
    </row>
    <row r="467">
      <c r="L467" s="14"/>
      <c r="M467" s="14"/>
      <c r="O467" s="14"/>
      <c r="P467" s="14"/>
      <c r="Q467" s="14"/>
      <c r="S467" s="8"/>
    </row>
    <row r="468">
      <c r="L468" s="14"/>
      <c r="M468" s="14"/>
      <c r="O468" s="14"/>
      <c r="P468" s="14"/>
      <c r="Q468" s="14"/>
      <c r="S468" s="8"/>
    </row>
    <row r="469">
      <c r="L469" s="14"/>
      <c r="M469" s="14"/>
      <c r="O469" s="14"/>
      <c r="P469" s="14"/>
      <c r="Q469" s="14"/>
      <c r="S469" s="8"/>
    </row>
    <row r="470">
      <c r="L470" s="14"/>
      <c r="M470" s="14"/>
      <c r="O470" s="14"/>
      <c r="P470" s="14"/>
      <c r="Q470" s="14"/>
      <c r="S470" s="8"/>
    </row>
    <row r="471">
      <c r="L471" s="14"/>
      <c r="M471" s="14"/>
      <c r="O471" s="14"/>
      <c r="P471" s="14"/>
      <c r="Q471" s="14"/>
      <c r="S471" s="8"/>
    </row>
    <row r="472">
      <c r="L472" s="14"/>
      <c r="M472" s="14"/>
      <c r="O472" s="14"/>
      <c r="P472" s="14"/>
      <c r="Q472" s="14"/>
      <c r="S472" s="8"/>
    </row>
    <row r="473">
      <c r="L473" s="14"/>
      <c r="M473" s="14"/>
      <c r="O473" s="14"/>
      <c r="P473" s="14"/>
      <c r="Q473" s="14"/>
      <c r="S473" s="8"/>
    </row>
    <row r="474">
      <c r="L474" s="14"/>
      <c r="M474" s="14"/>
      <c r="O474" s="14"/>
      <c r="P474" s="14"/>
      <c r="Q474" s="14"/>
      <c r="S474" s="8"/>
    </row>
    <row r="475">
      <c r="L475" s="14"/>
      <c r="M475" s="14"/>
      <c r="O475" s="14"/>
      <c r="P475" s="14"/>
      <c r="Q475" s="14"/>
      <c r="S475" s="8"/>
    </row>
    <row r="476">
      <c r="L476" s="14"/>
      <c r="M476" s="14"/>
      <c r="O476" s="14"/>
      <c r="P476" s="14"/>
      <c r="Q476" s="14"/>
      <c r="S476" s="8"/>
    </row>
    <row r="477">
      <c r="L477" s="14"/>
      <c r="M477" s="14"/>
      <c r="O477" s="14"/>
      <c r="P477" s="14"/>
      <c r="Q477" s="14"/>
      <c r="S477" s="8"/>
    </row>
    <row r="478">
      <c r="L478" s="14"/>
      <c r="M478" s="14"/>
      <c r="O478" s="14"/>
      <c r="P478" s="14"/>
      <c r="Q478" s="14"/>
      <c r="S478" s="8"/>
    </row>
    <row r="479">
      <c r="L479" s="14"/>
      <c r="M479" s="14"/>
      <c r="O479" s="14"/>
      <c r="P479" s="14"/>
      <c r="Q479" s="14"/>
      <c r="S479" s="8"/>
    </row>
    <row r="480">
      <c r="L480" s="14"/>
      <c r="M480" s="14"/>
      <c r="O480" s="14"/>
      <c r="P480" s="14"/>
      <c r="Q480" s="14"/>
      <c r="S480" s="8"/>
    </row>
    <row r="481">
      <c r="L481" s="14"/>
      <c r="M481" s="14"/>
      <c r="O481" s="14"/>
      <c r="P481" s="14"/>
      <c r="Q481" s="14"/>
      <c r="S481" s="8"/>
    </row>
    <row r="482">
      <c r="L482" s="14"/>
      <c r="M482" s="14"/>
      <c r="O482" s="14"/>
      <c r="P482" s="14"/>
      <c r="Q482" s="14"/>
      <c r="S482" s="8"/>
    </row>
    <row r="483">
      <c r="L483" s="14"/>
      <c r="M483" s="14"/>
      <c r="O483" s="14"/>
      <c r="P483" s="14"/>
      <c r="Q483" s="14"/>
      <c r="S483" s="8"/>
    </row>
    <row r="484">
      <c r="L484" s="14"/>
      <c r="M484" s="14"/>
      <c r="O484" s="14"/>
      <c r="P484" s="14"/>
      <c r="Q484" s="14"/>
      <c r="S484" s="8"/>
    </row>
    <row r="485">
      <c r="L485" s="14"/>
      <c r="M485" s="14"/>
      <c r="O485" s="14"/>
      <c r="P485" s="14"/>
      <c r="Q485" s="14"/>
      <c r="S485" s="8"/>
    </row>
    <row r="486">
      <c r="L486" s="14"/>
      <c r="M486" s="14"/>
      <c r="O486" s="14"/>
      <c r="P486" s="14"/>
      <c r="Q486" s="14"/>
      <c r="S486" s="8"/>
    </row>
    <row r="487">
      <c r="L487" s="14"/>
      <c r="M487" s="14"/>
      <c r="O487" s="14"/>
      <c r="P487" s="14"/>
      <c r="Q487" s="14"/>
      <c r="S487" s="8"/>
    </row>
    <row r="488">
      <c r="L488" s="14"/>
      <c r="M488" s="14"/>
      <c r="O488" s="14"/>
      <c r="P488" s="14"/>
      <c r="Q488" s="14"/>
      <c r="S488" s="8"/>
    </row>
    <row r="489">
      <c r="L489" s="14"/>
      <c r="M489" s="14"/>
      <c r="O489" s="14"/>
      <c r="P489" s="14"/>
      <c r="Q489" s="14"/>
      <c r="S489" s="8"/>
    </row>
    <row r="490">
      <c r="L490" s="14"/>
      <c r="M490" s="14"/>
      <c r="O490" s="14"/>
      <c r="P490" s="14"/>
      <c r="Q490" s="14"/>
      <c r="S490" s="8"/>
    </row>
    <row r="491">
      <c r="L491" s="14"/>
      <c r="M491" s="14"/>
      <c r="O491" s="14"/>
      <c r="P491" s="14"/>
      <c r="Q491" s="14"/>
      <c r="S491" s="8"/>
    </row>
    <row r="492">
      <c r="L492" s="14"/>
      <c r="M492" s="14"/>
      <c r="O492" s="14"/>
      <c r="P492" s="14"/>
      <c r="Q492" s="14"/>
      <c r="S492" s="8"/>
    </row>
    <row r="493">
      <c r="L493" s="14"/>
      <c r="M493" s="14"/>
      <c r="O493" s="14"/>
      <c r="P493" s="14"/>
      <c r="Q493" s="14"/>
      <c r="S493" s="8"/>
    </row>
    <row r="494">
      <c r="L494" s="14"/>
      <c r="M494" s="14"/>
      <c r="O494" s="14"/>
      <c r="P494" s="14"/>
      <c r="Q494" s="14"/>
      <c r="S494" s="8"/>
    </row>
    <row r="495">
      <c r="L495" s="14"/>
      <c r="M495" s="14"/>
      <c r="O495" s="14"/>
      <c r="P495" s="14"/>
      <c r="Q495" s="14"/>
      <c r="S495" s="8"/>
    </row>
    <row r="496">
      <c r="L496" s="14"/>
      <c r="M496" s="14"/>
      <c r="O496" s="14"/>
      <c r="P496" s="14"/>
      <c r="Q496" s="14"/>
      <c r="S496" s="8"/>
    </row>
    <row r="497">
      <c r="L497" s="14"/>
      <c r="M497" s="14"/>
      <c r="O497" s="14"/>
      <c r="P497" s="14"/>
      <c r="Q497" s="14"/>
      <c r="S497" s="8"/>
    </row>
    <row r="498">
      <c r="L498" s="14"/>
      <c r="M498" s="14"/>
      <c r="O498" s="14"/>
      <c r="P498" s="14"/>
      <c r="Q498" s="14"/>
      <c r="S498" s="8"/>
    </row>
    <row r="499">
      <c r="L499" s="14"/>
      <c r="M499" s="14"/>
      <c r="O499" s="14"/>
      <c r="P499" s="14"/>
      <c r="Q499" s="14"/>
      <c r="S499" s="8"/>
    </row>
    <row r="500">
      <c r="L500" s="14"/>
      <c r="M500" s="14"/>
      <c r="O500" s="14"/>
      <c r="P500" s="14"/>
      <c r="Q500" s="14"/>
      <c r="S500" s="8"/>
    </row>
    <row r="501">
      <c r="L501" s="14"/>
      <c r="M501" s="14"/>
      <c r="O501" s="14"/>
      <c r="P501" s="14"/>
      <c r="Q501" s="14"/>
      <c r="S501" s="8"/>
    </row>
    <row r="502">
      <c r="L502" s="14"/>
      <c r="M502" s="14"/>
      <c r="O502" s="14"/>
      <c r="P502" s="14"/>
      <c r="Q502" s="14"/>
      <c r="S502" s="8"/>
    </row>
    <row r="503">
      <c r="L503" s="14"/>
      <c r="M503" s="14"/>
      <c r="O503" s="14"/>
      <c r="P503" s="14"/>
      <c r="Q503" s="14"/>
      <c r="S503" s="8"/>
    </row>
    <row r="504">
      <c r="L504" s="14"/>
      <c r="M504" s="14"/>
      <c r="O504" s="14"/>
      <c r="P504" s="14"/>
      <c r="Q504" s="14"/>
      <c r="S504" s="8"/>
    </row>
    <row r="505">
      <c r="L505" s="14"/>
      <c r="M505" s="14"/>
      <c r="O505" s="14"/>
      <c r="P505" s="14"/>
      <c r="Q505" s="14"/>
      <c r="S505" s="8"/>
    </row>
    <row r="506">
      <c r="L506" s="14"/>
      <c r="M506" s="14"/>
      <c r="O506" s="14"/>
      <c r="P506" s="14"/>
      <c r="Q506" s="14"/>
      <c r="S506" s="8"/>
    </row>
    <row r="507">
      <c r="L507" s="14"/>
      <c r="M507" s="14"/>
      <c r="O507" s="14"/>
      <c r="P507" s="14"/>
      <c r="Q507" s="14"/>
      <c r="S507" s="8"/>
    </row>
    <row r="508">
      <c r="L508" s="14"/>
      <c r="M508" s="14"/>
      <c r="O508" s="14"/>
      <c r="P508" s="14"/>
      <c r="Q508" s="14"/>
      <c r="S508" s="8"/>
    </row>
    <row r="509">
      <c r="L509" s="14"/>
      <c r="M509" s="14"/>
      <c r="O509" s="14"/>
      <c r="P509" s="14"/>
      <c r="Q509" s="14"/>
      <c r="S509" s="8"/>
    </row>
    <row r="510">
      <c r="L510" s="14"/>
      <c r="M510" s="14"/>
      <c r="O510" s="14"/>
      <c r="P510" s="14"/>
      <c r="Q510" s="14"/>
      <c r="S510" s="8"/>
    </row>
    <row r="511">
      <c r="L511" s="14"/>
      <c r="M511" s="14"/>
      <c r="O511" s="14"/>
      <c r="P511" s="14"/>
      <c r="Q511" s="14"/>
      <c r="S511" s="8"/>
    </row>
    <row r="512">
      <c r="L512" s="14"/>
      <c r="M512" s="14"/>
      <c r="O512" s="14"/>
      <c r="P512" s="14"/>
      <c r="Q512" s="14"/>
      <c r="S512" s="8"/>
    </row>
    <row r="513">
      <c r="L513" s="14"/>
      <c r="M513" s="14"/>
      <c r="O513" s="14"/>
      <c r="P513" s="14"/>
      <c r="Q513" s="14"/>
      <c r="S513" s="8"/>
    </row>
    <row r="514">
      <c r="L514" s="14"/>
      <c r="M514" s="14"/>
      <c r="O514" s="14"/>
      <c r="P514" s="14"/>
      <c r="Q514" s="14"/>
      <c r="S514" s="8"/>
    </row>
    <row r="515">
      <c r="L515" s="14"/>
      <c r="M515" s="14"/>
      <c r="O515" s="14"/>
      <c r="P515" s="14"/>
      <c r="Q515" s="14"/>
      <c r="S515" s="8"/>
    </row>
    <row r="516">
      <c r="L516" s="14"/>
      <c r="M516" s="14"/>
      <c r="O516" s="14"/>
      <c r="P516" s="14"/>
      <c r="Q516" s="14"/>
      <c r="S516" s="8"/>
    </row>
    <row r="517">
      <c r="L517" s="14"/>
      <c r="M517" s="14"/>
      <c r="O517" s="14"/>
      <c r="P517" s="14"/>
      <c r="Q517" s="14"/>
      <c r="S517" s="8"/>
    </row>
    <row r="518">
      <c r="L518" s="14"/>
      <c r="M518" s="14"/>
      <c r="O518" s="14"/>
      <c r="P518" s="14"/>
      <c r="Q518" s="14"/>
      <c r="S518" s="8"/>
    </row>
    <row r="519">
      <c r="L519" s="14"/>
      <c r="M519" s="14"/>
      <c r="O519" s="14"/>
      <c r="P519" s="14"/>
      <c r="Q519" s="14"/>
      <c r="S519" s="8"/>
    </row>
    <row r="520">
      <c r="L520" s="14"/>
      <c r="M520" s="14"/>
      <c r="O520" s="14"/>
      <c r="P520" s="14"/>
      <c r="Q520" s="14"/>
      <c r="S520" s="8"/>
    </row>
    <row r="521">
      <c r="L521" s="14"/>
      <c r="M521" s="14"/>
      <c r="O521" s="14"/>
      <c r="P521" s="14"/>
      <c r="Q521" s="14"/>
      <c r="S521" s="8"/>
    </row>
    <row r="522">
      <c r="L522" s="14"/>
      <c r="M522" s="14"/>
      <c r="O522" s="14"/>
      <c r="P522" s="14"/>
      <c r="Q522" s="14"/>
      <c r="S522" s="8"/>
    </row>
    <row r="523">
      <c r="L523" s="14"/>
      <c r="M523" s="14"/>
      <c r="O523" s="14"/>
      <c r="P523" s="14"/>
      <c r="Q523" s="14"/>
      <c r="S523" s="8"/>
    </row>
    <row r="524">
      <c r="L524" s="14"/>
      <c r="M524" s="14"/>
      <c r="O524" s="14"/>
      <c r="P524" s="14"/>
      <c r="Q524" s="14"/>
      <c r="S524" s="8"/>
    </row>
    <row r="525">
      <c r="L525" s="14"/>
      <c r="M525" s="14"/>
      <c r="O525" s="14"/>
      <c r="P525" s="14"/>
      <c r="Q525" s="14"/>
      <c r="S525" s="8"/>
    </row>
    <row r="526">
      <c r="L526" s="14"/>
      <c r="M526" s="14"/>
      <c r="O526" s="14"/>
      <c r="P526" s="14"/>
      <c r="Q526" s="14"/>
      <c r="S526" s="8"/>
    </row>
    <row r="527">
      <c r="L527" s="14"/>
      <c r="M527" s="14"/>
      <c r="O527" s="14"/>
      <c r="P527" s="14"/>
      <c r="Q527" s="14"/>
      <c r="S527" s="8"/>
    </row>
    <row r="528">
      <c r="L528" s="14"/>
      <c r="M528" s="14"/>
      <c r="O528" s="14"/>
      <c r="P528" s="14"/>
      <c r="Q528" s="14"/>
      <c r="S528" s="8"/>
    </row>
    <row r="529">
      <c r="L529" s="14"/>
      <c r="M529" s="14"/>
      <c r="O529" s="14"/>
      <c r="P529" s="14"/>
      <c r="Q529" s="14"/>
      <c r="S529" s="8"/>
    </row>
    <row r="530">
      <c r="L530" s="14"/>
      <c r="M530" s="14"/>
      <c r="O530" s="14"/>
      <c r="P530" s="14"/>
      <c r="Q530" s="14"/>
      <c r="S530" s="8"/>
    </row>
    <row r="531">
      <c r="L531" s="14"/>
      <c r="M531" s="14"/>
      <c r="O531" s="14"/>
      <c r="P531" s="14"/>
      <c r="Q531" s="14"/>
      <c r="S531" s="8"/>
    </row>
    <row r="532">
      <c r="L532" s="14"/>
      <c r="M532" s="14"/>
      <c r="O532" s="14"/>
      <c r="P532" s="14"/>
      <c r="Q532" s="14"/>
      <c r="S532" s="8"/>
    </row>
    <row r="533">
      <c r="L533" s="14"/>
      <c r="M533" s="14"/>
      <c r="O533" s="14"/>
      <c r="P533" s="14"/>
      <c r="Q533" s="14"/>
      <c r="S533" s="8"/>
    </row>
    <row r="534">
      <c r="L534" s="14"/>
      <c r="M534" s="14"/>
      <c r="O534" s="14"/>
      <c r="P534" s="14"/>
      <c r="Q534" s="14"/>
      <c r="S534" s="8"/>
    </row>
    <row r="535">
      <c r="L535" s="14"/>
      <c r="M535" s="14"/>
      <c r="O535" s="14"/>
      <c r="P535" s="14"/>
      <c r="Q535" s="14"/>
      <c r="S535" s="8"/>
    </row>
    <row r="536">
      <c r="L536" s="14"/>
      <c r="M536" s="14"/>
      <c r="O536" s="14"/>
      <c r="P536" s="14"/>
      <c r="Q536" s="14"/>
      <c r="S536" s="8"/>
    </row>
    <row r="537">
      <c r="L537" s="14"/>
      <c r="M537" s="14"/>
      <c r="O537" s="14"/>
      <c r="P537" s="14"/>
      <c r="Q537" s="14"/>
      <c r="S537" s="8"/>
    </row>
    <row r="538">
      <c r="L538" s="14"/>
      <c r="M538" s="14"/>
      <c r="O538" s="14"/>
      <c r="P538" s="14"/>
      <c r="Q538" s="14"/>
      <c r="S538" s="8"/>
    </row>
    <row r="539">
      <c r="L539" s="14"/>
      <c r="M539" s="14"/>
      <c r="O539" s="14"/>
      <c r="P539" s="14"/>
      <c r="Q539" s="14"/>
      <c r="S539" s="8"/>
    </row>
    <row r="540">
      <c r="L540" s="14"/>
      <c r="M540" s="14"/>
      <c r="O540" s="14"/>
      <c r="P540" s="14"/>
      <c r="Q540" s="14"/>
      <c r="S540" s="8"/>
    </row>
    <row r="541">
      <c r="L541" s="14"/>
      <c r="M541" s="14"/>
      <c r="O541" s="14"/>
      <c r="P541" s="14"/>
      <c r="Q541" s="14"/>
      <c r="S541" s="8"/>
    </row>
    <row r="542">
      <c r="L542" s="14"/>
      <c r="M542" s="14"/>
      <c r="O542" s="14"/>
      <c r="P542" s="14"/>
      <c r="Q542" s="14"/>
      <c r="S542" s="8"/>
    </row>
    <row r="543">
      <c r="L543" s="14"/>
      <c r="M543" s="14"/>
      <c r="O543" s="14"/>
      <c r="P543" s="14"/>
      <c r="Q543" s="14"/>
      <c r="S543" s="8"/>
    </row>
    <row r="544">
      <c r="L544" s="14"/>
      <c r="M544" s="14"/>
      <c r="O544" s="14"/>
      <c r="P544" s="14"/>
      <c r="Q544" s="14"/>
      <c r="S544" s="8"/>
    </row>
    <row r="545">
      <c r="L545" s="14"/>
      <c r="M545" s="14"/>
      <c r="O545" s="14"/>
      <c r="P545" s="14"/>
      <c r="Q545" s="14"/>
      <c r="S545" s="8"/>
    </row>
    <row r="546">
      <c r="L546" s="14"/>
      <c r="M546" s="14"/>
      <c r="O546" s="14"/>
      <c r="P546" s="14"/>
      <c r="Q546" s="14"/>
      <c r="S546" s="8"/>
    </row>
    <row r="547">
      <c r="L547" s="14"/>
      <c r="M547" s="14"/>
      <c r="O547" s="14"/>
      <c r="P547" s="14"/>
      <c r="Q547" s="14"/>
      <c r="S547" s="8"/>
    </row>
    <row r="548">
      <c r="L548" s="14"/>
      <c r="M548" s="14"/>
      <c r="O548" s="14"/>
      <c r="P548" s="14"/>
      <c r="Q548" s="14"/>
      <c r="S548" s="8"/>
    </row>
    <row r="549">
      <c r="L549" s="14"/>
      <c r="M549" s="14"/>
      <c r="O549" s="14"/>
      <c r="P549" s="14"/>
      <c r="Q549" s="14"/>
      <c r="S549" s="8"/>
    </row>
    <row r="550">
      <c r="L550" s="14"/>
      <c r="M550" s="14"/>
      <c r="O550" s="14"/>
      <c r="P550" s="14"/>
      <c r="Q550" s="14"/>
      <c r="S550" s="8"/>
    </row>
    <row r="551">
      <c r="L551" s="14"/>
      <c r="M551" s="14"/>
      <c r="O551" s="14"/>
      <c r="P551" s="14"/>
      <c r="Q551" s="14"/>
      <c r="S551" s="8"/>
    </row>
    <row r="552">
      <c r="L552" s="14"/>
      <c r="M552" s="14"/>
      <c r="O552" s="14"/>
      <c r="P552" s="14"/>
      <c r="Q552" s="14"/>
      <c r="S552" s="8"/>
    </row>
    <row r="553">
      <c r="L553" s="14"/>
      <c r="M553" s="14"/>
      <c r="O553" s="14"/>
      <c r="P553" s="14"/>
      <c r="Q553" s="14"/>
      <c r="S553" s="8"/>
    </row>
    <row r="554">
      <c r="L554" s="14"/>
      <c r="M554" s="14"/>
      <c r="O554" s="14"/>
      <c r="P554" s="14"/>
      <c r="Q554" s="14"/>
      <c r="S554" s="8"/>
    </row>
    <row r="555">
      <c r="L555" s="14"/>
      <c r="M555" s="14"/>
      <c r="O555" s="14"/>
      <c r="P555" s="14"/>
      <c r="Q555" s="14"/>
      <c r="S555" s="8"/>
    </row>
    <row r="556">
      <c r="L556" s="14"/>
      <c r="M556" s="14"/>
      <c r="O556" s="14"/>
      <c r="P556" s="14"/>
      <c r="Q556" s="14"/>
      <c r="S556" s="8"/>
    </row>
    <row r="557">
      <c r="L557" s="14"/>
      <c r="M557" s="14"/>
      <c r="O557" s="14"/>
      <c r="P557" s="14"/>
      <c r="Q557" s="14"/>
      <c r="S557" s="8"/>
    </row>
    <row r="558">
      <c r="L558" s="14"/>
      <c r="M558" s="14"/>
      <c r="O558" s="14"/>
      <c r="P558" s="14"/>
      <c r="Q558" s="14"/>
      <c r="S558" s="8"/>
    </row>
    <row r="559">
      <c r="L559" s="14"/>
      <c r="M559" s="14"/>
      <c r="O559" s="14"/>
      <c r="P559" s="14"/>
      <c r="Q559" s="14"/>
      <c r="S559" s="8"/>
    </row>
    <row r="560">
      <c r="L560" s="14"/>
      <c r="M560" s="14"/>
      <c r="O560" s="14"/>
      <c r="P560" s="14"/>
      <c r="Q560" s="14"/>
      <c r="S560" s="8"/>
    </row>
    <row r="561">
      <c r="L561" s="14"/>
      <c r="M561" s="14"/>
      <c r="O561" s="14"/>
      <c r="P561" s="14"/>
      <c r="Q561" s="14"/>
      <c r="S561" s="8"/>
    </row>
    <row r="562">
      <c r="L562" s="14"/>
      <c r="M562" s="14"/>
      <c r="O562" s="14"/>
      <c r="P562" s="14"/>
      <c r="Q562" s="14"/>
      <c r="S562" s="8"/>
    </row>
    <row r="563">
      <c r="L563" s="14"/>
      <c r="M563" s="14"/>
      <c r="O563" s="14"/>
      <c r="P563" s="14"/>
      <c r="Q563" s="14"/>
      <c r="S563" s="8"/>
    </row>
    <row r="564">
      <c r="L564" s="14"/>
      <c r="M564" s="14"/>
      <c r="O564" s="14"/>
      <c r="P564" s="14"/>
      <c r="Q564" s="14"/>
      <c r="S564" s="8"/>
    </row>
    <row r="565">
      <c r="L565" s="14"/>
      <c r="M565" s="14"/>
      <c r="O565" s="14"/>
      <c r="P565" s="14"/>
      <c r="Q565" s="14"/>
      <c r="S565" s="8"/>
    </row>
    <row r="566">
      <c r="L566" s="14"/>
      <c r="M566" s="14"/>
      <c r="O566" s="14"/>
      <c r="P566" s="14"/>
      <c r="Q566" s="14"/>
      <c r="S566" s="8"/>
    </row>
    <row r="567">
      <c r="L567" s="14"/>
      <c r="M567" s="14"/>
      <c r="O567" s="14"/>
      <c r="P567" s="14"/>
      <c r="Q567" s="14"/>
      <c r="S567" s="8"/>
    </row>
    <row r="568">
      <c r="L568" s="14"/>
      <c r="M568" s="14"/>
      <c r="O568" s="14"/>
      <c r="P568" s="14"/>
      <c r="Q568" s="14"/>
      <c r="S568" s="8"/>
    </row>
    <row r="569">
      <c r="L569" s="14"/>
      <c r="M569" s="14"/>
      <c r="O569" s="14"/>
      <c r="P569" s="14"/>
      <c r="Q569" s="14"/>
      <c r="S569" s="8"/>
    </row>
    <row r="570">
      <c r="L570" s="14"/>
      <c r="M570" s="14"/>
      <c r="O570" s="14"/>
      <c r="P570" s="14"/>
      <c r="Q570" s="14"/>
      <c r="S570" s="8"/>
    </row>
    <row r="571">
      <c r="L571" s="14"/>
      <c r="M571" s="14"/>
      <c r="O571" s="14"/>
      <c r="P571" s="14"/>
      <c r="Q571" s="14"/>
      <c r="S571" s="8"/>
    </row>
    <row r="572">
      <c r="L572" s="14"/>
      <c r="M572" s="14"/>
      <c r="O572" s="14"/>
      <c r="P572" s="14"/>
      <c r="Q572" s="14"/>
      <c r="S572" s="8"/>
    </row>
    <row r="573">
      <c r="L573" s="14"/>
      <c r="M573" s="14"/>
      <c r="O573" s="14"/>
      <c r="P573" s="14"/>
      <c r="Q573" s="14"/>
      <c r="S573" s="8"/>
    </row>
    <row r="574">
      <c r="L574" s="14"/>
      <c r="M574" s="14"/>
      <c r="O574" s="14"/>
      <c r="P574" s="14"/>
      <c r="Q574" s="14"/>
      <c r="S574" s="8"/>
    </row>
    <row r="575">
      <c r="L575" s="14"/>
      <c r="M575" s="14"/>
      <c r="O575" s="14"/>
      <c r="P575" s="14"/>
      <c r="Q575" s="14"/>
      <c r="S575" s="8"/>
    </row>
    <row r="576">
      <c r="L576" s="14"/>
      <c r="M576" s="14"/>
      <c r="O576" s="14"/>
      <c r="P576" s="14"/>
      <c r="Q576" s="14"/>
      <c r="S576" s="8"/>
    </row>
    <row r="577">
      <c r="L577" s="14"/>
      <c r="M577" s="14"/>
      <c r="O577" s="14"/>
      <c r="P577" s="14"/>
      <c r="Q577" s="14"/>
      <c r="S577" s="8"/>
    </row>
    <row r="578">
      <c r="L578" s="14"/>
      <c r="M578" s="14"/>
      <c r="O578" s="14"/>
      <c r="P578" s="14"/>
      <c r="Q578" s="14"/>
      <c r="S578" s="8"/>
    </row>
    <row r="579">
      <c r="L579" s="14"/>
      <c r="M579" s="14"/>
      <c r="O579" s="14"/>
      <c r="P579" s="14"/>
      <c r="Q579" s="14"/>
      <c r="S579" s="8"/>
    </row>
    <row r="580">
      <c r="L580" s="14"/>
      <c r="M580" s="14"/>
      <c r="O580" s="14"/>
      <c r="P580" s="14"/>
      <c r="Q580" s="14"/>
      <c r="S580" s="8"/>
    </row>
    <row r="581">
      <c r="L581" s="14"/>
      <c r="M581" s="14"/>
      <c r="O581" s="14"/>
      <c r="P581" s="14"/>
      <c r="Q581" s="14"/>
      <c r="S581" s="8"/>
    </row>
    <row r="582">
      <c r="L582" s="14"/>
      <c r="M582" s="14"/>
      <c r="O582" s="14"/>
      <c r="P582" s="14"/>
      <c r="Q582" s="14"/>
      <c r="S582" s="8"/>
    </row>
    <row r="583">
      <c r="L583" s="14"/>
      <c r="M583" s="14"/>
      <c r="O583" s="14"/>
      <c r="P583" s="14"/>
      <c r="Q583" s="14"/>
      <c r="S583" s="8"/>
    </row>
    <row r="584">
      <c r="L584" s="14"/>
      <c r="M584" s="14"/>
      <c r="O584" s="14"/>
      <c r="P584" s="14"/>
      <c r="Q584" s="14"/>
      <c r="S584" s="8"/>
    </row>
    <row r="585">
      <c r="L585" s="14"/>
      <c r="M585" s="14"/>
      <c r="O585" s="14"/>
      <c r="P585" s="14"/>
      <c r="Q585" s="14"/>
      <c r="S585" s="8"/>
    </row>
    <row r="586">
      <c r="L586" s="14"/>
      <c r="M586" s="14"/>
      <c r="O586" s="14"/>
      <c r="P586" s="14"/>
      <c r="Q586" s="14"/>
      <c r="S586" s="8"/>
    </row>
    <row r="587">
      <c r="L587" s="14"/>
      <c r="M587" s="14"/>
      <c r="O587" s="14"/>
      <c r="P587" s="14"/>
      <c r="Q587" s="14"/>
      <c r="S587" s="8"/>
    </row>
    <row r="588">
      <c r="L588" s="14"/>
      <c r="M588" s="14"/>
      <c r="O588" s="14"/>
      <c r="P588" s="14"/>
      <c r="Q588" s="14"/>
      <c r="S588" s="8"/>
    </row>
    <row r="589">
      <c r="L589" s="14"/>
      <c r="M589" s="14"/>
      <c r="O589" s="14"/>
      <c r="P589" s="14"/>
      <c r="Q589" s="14"/>
      <c r="S589" s="8"/>
    </row>
    <row r="590">
      <c r="L590" s="14"/>
      <c r="M590" s="14"/>
      <c r="O590" s="14"/>
      <c r="P590" s="14"/>
      <c r="Q590" s="14"/>
      <c r="S590" s="8"/>
    </row>
    <row r="591">
      <c r="L591" s="14"/>
      <c r="M591" s="14"/>
      <c r="O591" s="14"/>
      <c r="P591" s="14"/>
      <c r="Q591" s="14"/>
      <c r="S591" s="8"/>
    </row>
    <row r="592">
      <c r="L592" s="14"/>
      <c r="M592" s="14"/>
      <c r="O592" s="14"/>
      <c r="P592" s="14"/>
      <c r="Q592" s="14"/>
      <c r="S592" s="8"/>
    </row>
    <row r="593">
      <c r="L593" s="14"/>
      <c r="M593" s="14"/>
      <c r="O593" s="14"/>
      <c r="P593" s="14"/>
      <c r="Q593" s="14"/>
      <c r="S593" s="8"/>
    </row>
    <row r="594">
      <c r="L594" s="14"/>
      <c r="M594" s="14"/>
      <c r="O594" s="14"/>
      <c r="P594" s="14"/>
      <c r="Q594" s="14"/>
      <c r="S594" s="8"/>
    </row>
    <row r="595">
      <c r="L595" s="14"/>
      <c r="M595" s="14"/>
      <c r="O595" s="14"/>
      <c r="P595" s="14"/>
      <c r="Q595" s="14"/>
      <c r="S595" s="8"/>
    </row>
    <row r="596">
      <c r="L596" s="14"/>
      <c r="M596" s="14"/>
      <c r="O596" s="14"/>
      <c r="P596" s="14"/>
      <c r="Q596" s="14"/>
      <c r="S596" s="8"/>
    </row>
    <row r="597">
      <c r="L597" s="14"/>
      <c r="M597" s="14"/>
      <c r="O597" s="14"/>
      <c r="P597" s="14"/>
      <c r="Q597" s="14"/>
      <c r="S597" s="8"/>
    </row>
    <row r="598">
      <c r="L598" s="14"/>
      <c r="M598" s="14"/>
      <c r="O598" s="14"/>
      <c r="P598" s="14"/>
      <c r="Q598" s="14"/>
      <c r="S598" s="8"/>
    </row>
    <row r="599">
      <c r="L599" s="14"/>
      <c r="M599" s="14"/>
      <c r="O599" s="14"/>
      <c r="P599" s="14"/>
      <c r="Q599" s="14"/>
      <c r="S599" s="8"/>
    </row>
    <row r="600">
      <c r="L600" s="14"/>
      <c r="M600" s="14"/>
      <c r="O600" s="14"/>
      <c r="P600" s="14"/>
      <c r="Q600" s="14"/>
      <c r="S600" s="8"/>
    </row>
    <row r="601">
      <c r="L601" s="14"/>
      <c r="M601" s="14"/>
      <c r="O601" s="14"/>
      <c r="P601" s="14"/>
      <c r="Q601" s="14"/>
      <c r="S601" s="8"/>
    </row>
    <row r="602">
      <c r="L602" s="14"/>
      <c r="M602" s="14"/>
      <c r="O602" s="14"/>
      <c r="P602" s="14"/>
      <c r="Q602" s="14"/>
      <c r="S602" s="8"/>
    </row>
    <row r="603">
      <c r="L603" s="14"/>
      <c r="M603" s="14"/>
      <c r="O603" s="14"/>
      <c r="P603" s="14"/>
      <c r="Q603" s="14"/>
      <c r="S603" s="8"/>
    </row>
    <row r="604">
      <c r="L604" s="14"/>
      <c r="M604" s="14"/>
      <c r="O604" s="14"/>
      <c r="P604" s="14"/>
      <c r="Q604" s="14"/>
      <c r="S604" s="8"/>
    </row>
    <row r="605">
      <c r="L605" s="14"/>
      <c r="M605" s="14"/>
      <c r="O605" s="14"/>
      <c r="P605" s="14"/>
      <c r="Q605" s="14"/>
      <c r="S605" s="8"/>
    </row>
    <row r="606">
      <c r="L606" s="14"/>
      <c r="M606" s="14"/>
      <c r="O606" s="14"/>
      <c r="P606" s="14"/>
      <c r="Q606" s="14"/>
      <c r="S606" s="8"/>
    </row>
    <row r="607">
      <c r="L607" s="14"/>
      <c r="M607" s="14"/>
      <c r="O607" s="14"/>
      <c r="P607" s="14"/>
      <c r="Q607" s="14"/>
      <c r="S607" s="8"/>
    </row>
    <row r="608">
      <c r="L608" s="14"/>
      <c r="M608" s="14"/>
      <c r="O608" s="14"/>
      <c r="P608" s="14"/>
      <c r="Q608" s="14"/>
      <c r="S608" s="8"/>
    </row>
    <row r="609">
      <c r="L609" s="14"/>
      <c r="M609" s="14"/>
      <c r="O609" s="14"/>
      <c r="P609" s="14"/>
      <c r="Q609" s="14"/>
      <c r="S609" s="8"/>
    </row>
    <row r="610">
      <c r="L610" s="14"/>
      <c r="M610" s="14"/>
      <c r="O610" s="14"/>
      <c r="P610" s="14"/>
      <c r="Q610" s="14"/>
      <c r="S610" s="8"/>
    </row>
    <row r="611">
      <c r="L611" s="14"/>
      <c r="M611" s="14"/>
      <c r="O611" s="14"/>
      <c r="P611" s="14"/>
      <c r="Q611" s="14"/>
      <c r="S611" s="8"/>
    </row>
    <row r="612">
      <c r="L612" s="14"/>
      <c r="M612" s="14"/>
      <c r="O612" s="14"/>
      <c r="P612" s="14"/>
      <c r="Q612" s="14"/>
      <c r="S612" s="8"/>
    </row>
    <row r="613">
      <c r="L613" s="14"/>
      <c r="M613" s="14"/>
      <c r="O613" s="14"/>
      <c r="P613" s="14"/>
      <c r="Q613" s="14"/>
      <c r="S613" s="8"/>
    </row>
    <row r="614">
      <c r="L614" s="14"/>
      <c r="M614" s="14"/>
      <c r="O614" s="14"/>
      <c r="P614" s="14"/>
      <c r="Q614" s="14"/>
      <c r="S614" s="8"/>
    </row>
    <row r="615">
      <c r="L615" s="14"/>
      <c r="M615" s="14"/>
      <c r="O615" s="14"/>
      <c r="P615" s="14"/>
      <c r="Q615" s="14"/>
      <c r="S615" s="8"/>
    </row>
    <row r="616">
      <c r="L616" s="14"/>
      <c r="M616" s="14"/>
      <c r="O616" s="14"/>
      <c r="P616" s="14"/>
      <c r="Q616" s="14"/>
      <c r="S616" s="8"/>
    </row>
    <row r="617">
      <c r="L617" s="14"/>
      <c r="M617" s="14"/>
      <c r="O617" s="14"/>
      <c r="P617" s="14"/>
      <c r="Q617" s="14"/>
      <c r="S617" s="8"/>
    </row>
    <row r="618">
      <c r="L618" s="14"/>
      <c r="M618" s="14"/>
      <c r="O618" s="14"/>
      <c r="P618" s="14"/>
      <c r="Q618" s="14"/>
      <c r="S618" s="8"/>
    </row>
    <row r="619">
      <c r="L619" s="14"/>
      <c r="M619" s="14"/>
      <c r="O619" s="14"/>
      <c r="P619" s="14"/>
      <c r="Q619" s="14"/>
      <c r="S619" s="8"/>
    </row>
    <row r="620">
      <c r="L620" s="14"/>
      <c r="M620" s="14"/>
      <c r="O620" s="14"/>
      <c r="P620" s="14"/>
      <c r="Q620" s="14"/>
      <c r="S620" s="8"/>
    </row>
    <row r="621">
      <c r="L621" s="14"/>
      <c r="M621" s="14"/>
      <c r="O621" s="14"/>
      <c r="P621" s="14"/>
      <c r="Q621" s="14"/>
      <c r="S621" s="8"/>
    </row>
    <row r="622">
      <c r="L622" s="14"/>
      <c r="M622" s="14"/>
      <c r="O622" s="14"/>
      <c r="P622" s="14"/>
      <c r="Q622" s="14"/>
      <c r="S622" s="8"/>
    </row>
    <row r="623">
      <c r="L623" s="14"/>
      <c r="M623" s="14"/>
      <c r="O623" s="14"/>
      <c r="P623" s="14"/>
      <c r="Q623" s="14"/>
      <c r="S623" s="8"/>
    </row>
    <row r="624">
      <c r="L624" s="14"/>
      <c r="M624" s="14"/>
      <c r="O624" s="14"/>
      <c r="P624" s="14"/>
      <c r="Q624" s="14"/>
      <c r="S624" s="8"/>
    </row>
    <row r="625">
      <c r="L625" s="14"/>
      <c r="M625" s="14"/>
      <c r="O625" s="14"/>
      <c r="P625" s="14"/>
      <c r="Q625" s="14"/>
      <c r="S625" s="8"/>
    </row>
    <row r="626">
      <c r="L626" s="14"/>
      <c r="M626" s="14"/>
      <c r="O626" s="14"/>
      <c r="P626" s="14"/>
      <c r="Q626" s="14"/>
      <c r="S626" s="8"/>
    </row>
    <row r="627">
      <c r="L627" s="14"/>
      <c r="M627" s="14"/>
      <c r="O627" s="14"/>
      <c r="P627" s="14"/>
      <c r="Q627" s="14"/>
      <c r="S627" s="8"/>
    </row>
    <row r="628">
      <c r="L628" s="14"/>
      <c r="M628" s="14"/>
      <c r="O628" s="14"/>
      <c r="P628" s="14"/>
      <c r="Q628" s="14"/>
      <c r="S628" s="8"/>
    </row>
    <row r="629">
      <c r="L629" s="14"/>
      <c r="M629" s="14"/>
      <c r="O629" s="14"/>
      <c r="P629" s="14"/>
      <c r="Q629" s="14"/>
      <c r="S629" s="8"/>
    </row>
    <row r="630">
      <c r="L630" s="14"/>
      <c r="M630" s="14"/>
      <c r="O630" s="14"/>
      <c r="P630" s="14"/>
      <c r="Q630" s="14"/>
      <c r="S630" s="8"/>
    </row>
    <row r="631">
      <c r="L631" s="14"/>
      <c r="M631" s="14"/>
      <c r="O631" s="14"/>
      <c r="P631" s="14"/>
      <c r="Q631" s="14"/>
      <c r="S631" s="8"/>
    </row>
    <row r="632">
      <c r="L632" s="14"/>
      <c r="M632" s="14"/>
      <c r="O632" s="14"/>
      <c r="P632" s="14"/>
      <c r="Q632" s="14"/>
      <c r="S632" s="8"/>
    </row>
    <row r="633">
      <c r="L633" s="14"/>
      <c r="M633" s="14"/>
      <c r="O633" s="14"/>
      <c r="P633" s="14"/>
      <c r="Q633" s="14"/>
      <c r="S633" s="8"/>
    </row>
    <row r="634">
      <c r="L634" s="14"/>
      <c r="M634" s="14"/>
      <c r="O634" s="14"/>
      <c r="P634" s="14"/>
      <c r="Q634" s="14"/>
      <c r="S634" s="8"/>
    </row>
    <row r="635">
      <c r="L635" s="14"/>
      <c r="M635" s="14"/>
      <c r="O635" s="14"/>
      <c r="P635" s="14"/>
      <c r="Q635" s="14"/>
      <c r="S635" s="8"/>
    </row>
    <row r="636">
      <c r="L636" s="14"/>
      <c r="M636" s="14"/>
      <c r="O636" s="14"/>
      <c r="P636" s="14"/>
      <c r="Q636" s="14"/>
      <c r="S636" s="8"/>
    </row>
    <row r="637">
      <c r="L637" s="14"/>
      <c r="M637" s="14"/>
      <c r="O637" s="14"/>
      <c r="P637" s="14"/>
      <c r="Q637" s="14"/>
      <c r="S637" s="8"/>
    </row>
    <row r="638">
      <c r="L638" s="14"/>
      <c r="M638" s="14"/>
      <c r="O638" s="14"/>
      <c r="P638" s="14"/>
      <c r="Q638" s="14"/>
      <c r="S638" s="8"/>
    </row>
    <row r="639">
      <c r="L639" s="14"/>
      <c r="M639" s="14"/>
      <c r="O639" s="14"/>
      <c r="P639" s="14"/>
      <c r="Q639" s="14"/>
      <c r="S639" s="8"/>
    </row>
    <row r="640">
      <c r="L640" s="14"/>
      <c r="M640" s="14"/>
      <c r="O640" s="14"/>
      <c r="P640" s="14"/>
      <c r="Q640" s="14"/>
      <c r="S640" s="8"/>
    </row>
    <row r="641">
      <c r="L641" s="14"/>
      <c r="M641" s="14"/>
      <c r="O641" s="14"/>
      <c r="P641" s="14"/>
      <c r="Q641" s="14"/>
      <c r="S641" s="8"/>
    </row>
    <row r="642">
      <c r="L642" s="14"/>
      <c r="M642" s="14"/>
      <c r="O642" s="14"/>
      <c r="P642" s="14"/>
      <c r="Q642" s="14"/>
      <c r="S642" s="8"/>
    </row>
    <row r="643">
      <c r="L643" s="14"/>
      <c r="M643" s="14"/>
      <c r="O643" s="14"/>
      <c r="P643" s="14"/>
      <c r="Q643" s="14"/>
      <c r="S643" s="8"/>
    </row>
    <row r="644">
      <c r="L644" s="14"/>
      <c r="M644" s="14"/>
      <c r="O644" s="14"/>
      <c r="P644" s="14"/>
      <c r="Q644" s="14"/>
      <c r="S644" s="8"/>
    </row>
    <row r="645">
      <c r="L645" s="14"/>
      <c r="M645" s="14"/>
      <c r="O645" s="14"/>
      <c r="P645" s="14"/>
      <c r="Q645" s="14"/>
      <c r="S645" s="8"/>
    </row>
    <row r="646">
      <c r="L646" s="14"/>
      <c r="M646" s="14"/>
      <c r="O646" s="14"/>
      <c r="P646" s="14"/>
      <c r="Q646" s="14"/>
      <c r="S646" s="8"/>
    </row>
    <row r="647">
      <c r="L647" s="14"/>
      <c r="M647" s="14"/>
      <c r="O647" s="14"/>
      <c r="P647" s="14"/>
      <c r="Q647" s="14"/>
      <c r="S647" s="8"/>
    </row>
    <row r="648">
      <c r="L648" s="14"/>
      <c r="M648" s="14"/>
      <c r="O648" s="14"/>
      <c r="P648" s="14"/>
      <c r="Q648" s="14"/>
      <c r="S648" s="8"/>
    </row>
    <row r="649">
      <c r="L649" s="14"/>
      <c r="M649" s="14"/>
      <c r="O649" s="14"/>
      <c r="P649" s="14"/>
      <c r="Q649" s="14"/>
      <c r="S649" s="8"/>
    </row>
    <row r="650">
      <c r="L650" s="14"/>
      <c r="M650" s="14"/>
      <c r="O650" s="14"/>
      <c r="P650" s="14"/>
      <c r="Q650" s="14"/>
      <c r="S650" s="8"/>
    </row>
    <row r="651">
      <c r="L651" s="14"/>
      <c r="M651" s="14"/>
      <c r="O651" s="14"/>
      <c r="P651" s="14"/>
      <c r="Q651" s="14"/>
      <c r="S651" s="8"/>
    </row>
    <row r="652">
      <c r="L652" s="14"/>
      <c r="M652" s="14"/>
      <c r="O652" s="14"/>
      <c r="P652" s="14"/>
      <c r="Q652" s="14"/>
      <c r="S652" s="8"/>
    </row>
    <row r="653">
      <c r="L653" s="14"/>
      <c r="M653" s="14"/>
      <c r="O653" s="14"/>
      <c r="P653" s="14"/>
      <c r="Q653" s="14"/>
      <c r="S653" s="8"/>
    </row>
    <row r="654">
      <c r="L654" s="14"/>
      <c r="M654" s="14"/>
      <c r="O654" s="14"/>
      <c r="P654" s="14"/>
      <c r="Q654" s="14"/>
      <c r="S654" s="8"/>
    </row>
    <row r="655">
      <c r="L655" s="14"/>
      <c r="M655" s="14"/>
      <c r="O655" s="14"/>
      <c r="P655" s="14"/>
      <c r="Q655" s="14"/>
      <c r="S655" s="8"/>
    </row>
    <row r="656">
      <c r="L656" s="14"/>
      <c r="M656" s="14"/>
      <c r="O656" s="14"/>
      <c r="P656" s="14"/>
      <c r="Q656" s="14"/>
      <c r="S656" s="8"/>
    </row>
    <row r="657">
      <c r="L657" s="14"/>
      <c r="M657" s="14"/>
      <c r="O657" s="14"/>
      <c r="P657" s="14"/>
      <c r="Q657" s="14"/>
      <c r="S657" s="8"/>
    </row>
    <row r="658">
      <c r="L658" s="14"/>
      <c r="M658" s="14"/>
      <c r="O658" s="14"/>
      <c r="P658" s="14"/>
      <c r="Q658" s="14"/>
      <c r="S658" s="8"/>
    </row>
    <row r="659">
      <c r="L659" s="14"/>
      <c r="M659" s="14"/>
      <c r="O659" s="14"/>
      <c r="P659" s="14"/>
      <c r="Q659" s="14"/>
      <c r="S659" s="8"/>
    </row>
    <row r="660">
      <c r="L660" s="14"/>
      <c r="M660" s="14"/>
      <c r="O660" s="14"/>
      <c r="P660" s="14"/>
      <c r="Q660" s="14"/>
      <c r="S660" s="8"/>
    </row>
    <row r="661">
      <c r="L661" s="14"/>
      <c r="M661" s="14"/>
      <c r="O661" s="14"/>
      <c r="P661" s="14"/>
      <c r="Q661" s="14"/>
      <c r="S661" s="8"/>
    </row>
    <row r="662">
      <c r="L662" s="14"/>
      <c r="M662" s="14"/>
      <c r="O662" s="14"/>
      <c r="P662" s="14"/>
      <c r="Q662" s="14"/>
      <c r="S662" s="8"/>
    </row>
    <row r="663">
      <c r="L663" s="14"/>
      <c r="M663" s="14"/>
      <c r="O663" s="14"/>
      <c r="P663" s="14"/>
      <c r="Q663" s="14"/>
      <c r="S663" s="8"/>
    </row>
    <row r="664">
      <c r="L664" s="14"/>
      <c r="M664" s="14"/>
      <c r="O664" s="14"/>
      <c r="P664" s="14"/>
      <c r="Q664" s="14"/>
      <c r="S664" s="8"/>
    </row>
    <row r="665">
      <c r="L665" s="14"/>
      <c r="M665" s="14"/>
      <c r="O665" s="14"/>
      <c r="P665" s="14"/>
      <c r="Q665" s="14"/>
      <c r="S665" s="8"/>
    </row>
    <row r="666">
      <c r="L666" s="14"/>
      <c r="M666" s="14"/>
      <c r="O666" s="14"/>
      <c r="P666" s="14"/>
      <c r="Q666" s="14"/>
      <c r="S666" s="8"/>
    </row>
    <row r="667">
      <c r="L667" s="14"/>
      <c r="M667" s="14"/>
      <c r="O667" s="14"/>
      <c r="P667" s="14"/>
      <c r="Q667" s="14"/>
      <c r="S667" s="8"/>
    </row>
    <row r="668">
      <c r="L668" s="14"/>
      <c r="M668" s="14"/>
      <c r="O668" s="14"/>
      <c r="P668" s="14"/>
      <c r="Q668" s="14"/>
      <c r="S668" s="8"/>
    </row>
    <row r="669">
      <c r="L669" s="14"/>
      <c r="M669" s="14"/>
      <c r="O669" s="14"/>
      <c r="P669" s="14"/>
      <c r="Q669" s="14"/>
      <c r="S669" s="8"/>
    </row>
    <row r="670">
      <c r="L670" s="14"/>
      <c r="M670" s="14"/>
      <c r="O670" s="14"/>
      <c r="P670" s="14"/>
      <c r="Q670" s="14"/>
      <c r="S670" s="8"/>
    </row>
    <row r="671">
      <c r="L671" s="14"/>
      <c r="M671" s="14"/>
      <c r="O671" s="14"/>
      <c r="P671" s="14"/>
      <c r="Q671" s="14"/>
      <c r="S671" s="8"/>
    </row>
    <row r="672">
      <c r="L672" s="14"/>
      <c r="M672" s="14"/>
      <c r="O672" s="14"/>
      <c r="P672" s="14"/>
      <c r="Q672" s="14"/>
      <c r="S672" s="8"/>
    </row>
    <row r="673">
      <c r="L673" s="14"/>
      <c r="M673" s="14"/>
      <c r="O673" s="14"/>
      <c r="P673" s="14"/>
      <c r="Q673" s="14"/>
      <c r="S673" s="8"/>
    </row>
    <row r="674">
      <c r="L674" s="14"/>
      <c r="M674" s="14"/>
      <c r="O674" s="14"/>
      <c r="P674" s="14"/>
      <c r="Q674" s="14"/>
      <c r="S674" s="8"/>
    </row>
    <row r="675">
      <c r="L675" s="14"/>
      <c r="M675" s="14"/>
      <c r="O675" s="14"/>
      <c r="P675" s="14"/>
      <c r="Q675" s="14"/>
      <c r="S675" s="8"/>
    </row>
    <row r="676">
      <c r="L676" s="14"/>
      <c r="M676" s="14"/>
      <c r="O676" s="14"/>
      <c r="P676" s="14"/>
      <c r="Q676" s="14"/>
      <c r="S676" s="8"/>
    </row>
    <row r="677">
      <c r="L677" s="14"/>
      <c r="M677" s="14"/>
      <c r="O677" s="14"/>
      <c r="P677" s="14"/>
      <c r="Q677" s="14"/>
      <c r="S677" s="8"/>
    </row>
    <row r="678">
      <c r="L678" s="14"/>
      <c r="M678" s="14"/>
      <c r="O678" s="14"/>
      <c r="P678" s="14"/>
      <c r="Q678" s="14"/>
      <c r="S678" s="8"/>
    </row>
    <row r="679">
      <c r="L679" s="14"/>
      <c r="M679" s="14"/>
      <c r="O679" s="14"/>
      <c r="P679" s="14"/>
      <c r="Q679" s="14"/>
      <c r="S679" s="8"/>
    </row>
    <row r="680">
      <c r="L680" s="14"/>
      <c r="M680" s="14"/>
      <c r="O680" s="14"/>
      <c r="P680" s="14"/>
      <c r="Q680" s="14"/>
      <c r="S680" s="8"/>
    </row>
    <row r="681">
      <c r="L681" s="14"/>
      <c r="M681" s="14"/>
      <c r="O681" s="14"/>
      <c r="P681" s="14"/>
      <c r="Q681" s="14"/>
      <c r="S681" s="8"/>
    </row>
    <row r="682">
      <c r="L682" s="14"/>
      <c r="M682" s="14"/>
      <c r="O682" s="14"/>
      <c r="P682" s="14"/>
      <c r="Q682" s="14"/>
      <c r="S682" s="8"/>
    </row>
    <row r="683">
      <c r="L683" s="14"/>
      <c r="M683" s="14"/>
      <c r="O683" s="14"/>
      <c r="P683" s="14"/>
      <c r="Q683" s="14"/>
      <c r="S683" s="8"/>
    </row>
    <row r="684">
      <c r="L684" s="14"/>
      <c r="M684" s="14"/>
      <c r="O684" s="14"/>
      <c r="P684" s="14"/>
      <c r="Q684" s="14"/>
      <c r="S684" s="8"/>
    </row>
    <row r="685">
      <c r="L685" s="14"/>
      <c r="M685" s="14"/>
      <c r="O685" s="14"/>
      <c r="P685" s="14"/>
      <c r="Q685" s="14"/>
      <c r="S685" s="8"/>
    </row>
    <row r="686">
      <c r="L686" s="14"/>
      <c r="M686" s="14"/>
      <c r="O686" s="14"/>
      <c r="P686" s="14"/>
      <c r="Q686" s="14"/>
      <c r="S686" s="8"/>
    </row>
    <row r="687">
      <c r="L687" s="14"/>
      <c r="M687" s="14"/>
      <c r="O687" s="14"/>
      <c r="P687" s="14"/>
      <c r="Q687" s="14"/>
      <c r="S687" s="8"/>
    </row>
    <row r="688">
      <c r="L688" s="14"/>
      <c r="M688" s="14"/>
      <c r="O688" s="14"/>
      <c r="P688" s="14"/>
      <c r="Q688" s="14"/>
      <c r="S688" s="8"/>
    </row>
    <row r="689">
      <c r="L689" s="14"/>
      <c r="M689" s="14"/>
      <c r="O689" s="14"/>
      <c r="P689" s="14"/>
      <c r="Q689" s="14"/>
      <c r="S689" s="8"/>
    </row>
    <row r="690">
      <c r="L690" s="14"/>
      <c r="M690" s="14"/>
      <c r="O690" s="14"/>
      <c r="P690" s="14"/>
      <c r="Q690" s="14"/>
      <c r="S690" s="8"/>
    </row>
    <row r="691">
      <c r="L691" s="14"/>
      <c r="M691" s="14"/>
      <c r="O691" s="14"/>
      <c r="P691" s="14"/>
      <c r="Q691" s="14"/>
      <c r="S691" s="8"/>
    </row>
    <row r="692">
      <c r="L692" s="14"/>
      <c r="M692" s="14"/>
      <c r="O692" s="14"/>
      <c r="P692" s="14"/>
      <c r="Q692" s="14"/>
      <c r="S692" s="8"/>
    </row>
    <row r="693">
      <c r="L693" s="14"/>
      <c r="M693" s="14"/>
      <c r="O693" s="14"/>
      <c r="P693" s="14"/>
      <c r="Q693" s="14"/>
      <c r="S693" s="8"/>
    </row>
    <row r="694">
      <c r="L694" s="14"/>
      <c r="M694" s="14"/>
      <c r="O694" s="14"/>
      <c r="P694" s="14"/>
      <c r="Q694" s="14"/>
      <c r="S694" s="8"/>
    </row>
    <row r="695">
      <c r="L695" s="14"/>
      <c r="M695" s="14"/>
      <c r="O695" s="14"/>
      <c r="P695" s="14"/>
      <c r="Q695" s="14"/>
      <c r="S695" s="8"/>
    </row>
    <row r="696">
      <c r="L696" s="14"/>
      <c r="M696" s="14"/>
      <c r="O696" s="14"/>
      <c r="P696" s="14"/>
      <c r="Q696" s="14"/>
      <c r="S696" s="8"/>
    </row>
    <row r="697">
      <c r="L697" s="14"/>
      <c r="M697" s="14"/>
      <c r="O697" s="14"/>
      <c r="P697" s="14"/>
      <c r="Q697" s="14"/>
      <c r="S697" s="8"/>
    </row>
    <row r="698">
      <c r="L698" s="14"/>
      <c r="M698" s="14"/>
      <c r="O698" s="14"/>
      <c r="P698" s="14"/>
      <c r="Q698" s="14"/>
      <c r="S698" s="8"/>
    </row>
    <row r="699">
      <c r="L699" s="14"/>
      <c r="M699" s="14"/>
      <c r="O699" s="14"/>
      <c r="P699" s="14"/>
      <c r="Q699" s="14"/>
      <c r="S699" s="8"/>
    </row>
    <row r="700">
      <c r="L700" s="14"/>
      <c r="M700" s="14"/>
      <c r="O700" s="14"/>
      <c r="P700" s="14"/>
      <c r="Q700" s="14"/>
      <c r="S700" s="8"/>
    </row>
    <row r="701">
      <c r="L701" s="14"/>
      <c r="M701" s="14"/>
      <c r="O701" s="14"/>
      <c r="P701" s="14"/>
      <c r="Q701" s="14"/>
      <c r="S701" s="8"/>
    </row>
    <row r="702">
      <c r="L702" s="14"/>
      <c r="M702" s="14"/>
      <c r="O702" s="14"/>
      <c r="P702" s="14"/>
      <c r="Q702" s="14"/>
      <c r="S702" s="8"/>
    </row>
    <row r="703">
      <c r="L703" s="14"/>
      <c r="M703" s="14"/>
      <c r="O703" s="14"/>
      <c r="P703" s="14"/>
      <c r="Q703" s="14"/>
      <c r="S703" s="8"/>
    </row>
    <row r="704">
      <c r="L704" s="14"/>
      <c r="M704" s="14"/>
      <c r="O704" s="14"/>
      <c r="P704" s="14"/>
      <c r="Q704" s="14"/>
      <c r="S704" s="8"/>
    </row>
    <row r="705">
      <c r="L705" s="14"/>
      <c r="M705" s="14"/>
      <c r="O705" s="14"/>
      <c r="P705" s="14"/>
      <c r="Q705" s="14"/>
      <c r="S705" s="8"/>
    </row>
    <row r="706">
      <c r="L706" s="14"/>
      <c r="M706" s="14"/>
      <c r="O706" s="14"/>
      <c r="P706" s="14"/>
      <c r="Q706" s="14"/>
      <c r="S706" s="8"/>
    </row>
    <row r="707">
      <c r="L707" s="14"/>
      <c r="M707" s="14"/>
      <c r="O707" s="14"/>
      <c r="P707" s="14"/>
      <c r="Q707" s="14"/>
      <c r="S707" s="8"/>
    </row>
    <row r="708">
      <c r="L708" s="14"/>
      <c r="M708" s="14"/>
      <c r="O708" s="14"/>
      <c r="P708" s="14"/>
      <c r="Q708" s="14"/>
      <c r="S708" s="8"/>
    </row>
    <row r="709">
      <c r="L709" s="14"/>
      <c r="M709" s="14"/>
      <c r="O709" s="14"/>
      <c r="P709" s="14"/>
      <c r="Q709" s="14"/>
      <c r="S709" s="8"/>
    </row>
    <row r="710">
      <c r="L710" s="14"/>
      <c r="M710" s="14"/>
      <c r="O710" s="14"/>
      <c r="P710" s="14"/>
      <c r="Q710" s="14"/>
      <c r="S710" s="8"/>
    </row>
    <row r="711">
      <c r="L711" s="14"/>
      <c r="M711" s="14"/>
      <c r="O711" s="14"/>
      <c r="P711" s="14"/>
      <c r="Q711" s="14"/>
      <c r="S711" s="8"/>
    </row>
    <row r="712">
      <c r="L712" s="14"/>
      <c r="M712" s="14"/>
      <c r="O712" s="14"/>
      <c r="P712" s="14"/>
      <c r="Q712" s="14"/>
      <c r="S712" s="8"/>
    </row>
    <row r="713">
      <c r="L713" s="14"/>
      <c r="M713" s="14"/>
      <c r="O713" s="14"/>
      <c r="P713" s="14"/>
      <c r="Q713" s="14"/>
      <c r="S713" s="8"/>
    </row>
    <row r="714">
      <c r="L714" s="14"/>
      <c r="M714" s="14"/>
      <c r="O714" s="14"/>
      <c r="P714" s="14"/>
      <c r="Q714" s="14"/>
      <c r="S714" s="8"/>
    </row>
    <row r="715">
      <c r="L715" s="14"/>
      <c r="M715" s="14"/>
      <c r="O715" s="14"/>
      <c r="P715" s="14"/>
      <c r="Q715" s="14"/>
      <c r="S715" s="8"/>
    </row>
    <row r="716">
      <c r="L716" s="14"/>
      <c r="M716" s="14"/>
      <c r="O716" s="14"/>
      <c r="P716" s="14"/>
      <c r="Q716" s="14"/>
      <c r="S716" s="8"/>
    </row>
    <row r="717">
      <c r="L717" s="14"/>
      <c r="M717" s="14"/>
      <c r="O717" s="14"/>
      <c r="P717" s="14"/>
      <c r="Q717" s="14"/>
      <c r="S717" s="8"/>
    </row>
    <row r="718">
      <c r="L718" s="14"/>
      <c r="M718" s="14"/>
      <c r="O718" s="14"/>
      <c r="P718" s="14"/>
      <c r="Q718" s="14"/>
      <c r="S718" s="8"/>
    </row>
    <row r="719">
      <c r="L719" s="14"/>
      <c r="M719" s="14"/>
      <c r="O719" s="14"/>
      <c r="P719" s="14"/>
      <c r="Q719" s="14"/>
      <c r="S719" s="8"/>
    </row>
    <row r="720">
      <c r="L720" s="14"/>
      <c r="M720" s="14"/>
      <c r="O720" s="14"/>
      <c r="P720" s="14"/>
      <c r="Q720" s="14"/>
      <c r="S720" s="8"/>
    </row>
    <row r="721">
      <c r="L721" s="14"/>
      <c r="M721" s="14"/>
      <c r="O721" s="14"/>
      <c r="P721" s="14"/>
      <c r="Q721" s="14"/>
      <c r="S721" s="8"/>
    </row>
    <row r="722">
      <c r="L722" s="14"/>
      <c r="M722" s="14"/>
      <c r="O722" s="14"/>
      <c r="P722" s="14"/>
      <c r="Q722" s="14"/>
      <c r="S722" s="8"/>
    </row>
    <row r="723">
      <c r="L723" s="14"/>
      <c r="M723" s="14"/>
      <c r="O723" s="14"/>
      <c r="P723" s="14"/>
      <c r="Q723" s="14"/>
      <c r="S723" s="8"/>
    </row>
    <row r="724">
      <c r="L724" s="14"/>
      <c r="M724" s="14"/>
      <c r="O724" s="14"/>
      <c r="P724" s="14"/>
      <c r="Q724" s="14"/>
      <c r="S724" s="8"/>
    </row>
    <row r="725">
      <c r="L725" s="14"/>
      <c r="M725" s="14"/>
      <c r="O725" s="14"/>
      <c r="P725" s="14"/>
      <c r="Q725" s="14"/>
      <c r="S725" s="8"/>
    </row>
    <row r="726">
      <c r="L726" s="14"/>
      <c r="M726" s="14"/>
      <c r="O726" s="14"/>
      <c r="P726" s="14"/>
      <c r="Q726" s="14"/>
      <c r="S726" s="8"/>
    </row>
    <row r="727">
      <c r="L727" s="14"/>
      <c r="M727" s="14"/>
      <c r="O727" s="14"/>
      <c r="P727" s="14"/>
      <c r="Q727" s="14"/>
      <c r="S727" s="8"/>
    </row>
    <row r="728">
      <c r="L728" s="14"/>
      <c r="M728" s="14"/>
      <c r="O728" s="14"/>
      <c r="P728" s="14"/>
      <c r="Q728" s="14"/>
      <c r="S728" s="8"/>
    </row>
    <row r="729">
      <c r="L729" s="14"/>
      <c r="M729" s="14"/>
      <c r="O729" s="14"/>
      <c r="P729" s="14"/>
      <c r="Q729" s="14"/>
      <c r="S729" s="8"/>
    </row>
    <row r="730">
      <c r="L730" s="14"/>
      <c r="M730" s="14"/>
      <c r="O730" s="14"/>
      <c r="P730" s="14"/>
      <c r="Q730" s="14"/>
      <c r="S730" s="8"/>
    </row>
    <row r="731">
      <c r="L731" s="14"/>
      <c r="M731" s="14"/>
      <c r="O731" s="14"/>
      <c r="P731" s="14"/>
      <c r="Q731" s="14"/>
      <c r="S731" s="8"/>
    </row>
    <row r="732">
      <c r="L732" s="14"/>
      <c r="M732" s="14"/>
      <c r="O732" s="14"/>
      <c r="P732" s="14"/>
      <c r="Q732" s="14"/>
      <c r="S732" s="8"/>
    </row>
    <row r="733">
      <c r="L733" s="14"/>
      <c r="M733" s="14"/>
      <c r="O733" s="14"/>
      <c r="P733" s="14"/>
      <c r="Q733" s="14"/>
      <c r="S733" s="8"/>
    </row>
    <row r="734">
      <c r="L734" s="14"/>
      <c r="M734" s="14"/>
      <c r="O734" s="14"/>
      <c r="P734" s="14"/>
      <c r="Q734" s="14"/>
      <c r="S734" s="8"/>
    </row>
    <row r="735">
      <c r="L735" s="14"/>
      <c r="M735" s="14"/>
      <c r="O735" s="14"/>
      <c r="P735" s="14"/>
      <c r="Q735" s="14"/>
      <c r="S735" s="8"/>
    </row>
    <row r="736">
      <c r="L736" s="14"/>
      <c r="M736" s="14"/>
      <c r="O736" s="14"/>
      <c r="P736" s="14"/>
      <c r="Q736" s="14"/>
      <c r="S736" s="8"/>
    </row>
    <row r="737">
      <c r="L737" s="14"/>
      <c r="M737" s="14"/>
      <c r="O737" s="14"/>
      <c r="P737" s="14"/>
      <c r="Q737" s="14"/>
      <c r="S737" s="8"/>
    </row>
    <row r="738">
      <c r="L738" s="14"/>
      <c r="M738" s="14"/>
      <c r="O738" s="14"/>
      <c r="P738" s="14"/>
      <c r="Q738" s="14"/>
      <c r="S738" s="8"/>
    </row>
    <row r="739">
      <c r="L739" s="14"/>
      <c r="M739" s="14"/>
      <c r="O739" s="14"/>
      <c r="P739" s="14"/>
      <c r="Q739" s="14"/>
      <c r="S739" s="8"/>
    </row>
    <row r="740">
      <c r="L740" s="14"/>
      <c r="M740" s="14"/>
      <c r="O740" s="14"/>
      <c r="P740" s="14"/>
      <c r="Q740" s="14"/>
      <c r="S740" s="8"/>
    </row>
    <row r="741">
      <c r="L741" s="14"/>
      <c r="M741" s="14"/>
      <c r="O741" s="14"/>
      <c r="P741" s="14"/>
      <c r="Q741" s="14"/>
      <c r="S741" s="8"/>
    </row>
    <row r="742">
      <c r="L742" s="14"/>
      <c r="M742" s="14"/>
      <c r="O742" s="14"/>
      <c r="P742" s="14"/>
      <c r="Q742" s="14"/>
      <c r="S742" s="8"/>
    </row>
    <row r="743">
      <c r="L743" s="14"/>
      <c r="M743" s="14"/>
      <c r="O743" s="14"/>
      <c r="P743" s="14"/>
      <c r="Q743" s="14"/>
      <c r="S743" s="8"/>
    </row>
    <row r="744">
      <c r="L744" s="14"/>
      <c r="M744" s="14"/>
      <c r="O744" s="14"/>
      <c r="P744" s="14"/>
      <c r="Q744" s="14"/>
      <c r="S744" s="8"/>
    </row>
    <row r="745">
      <c r="L745" s="14"/>
      <c r="M745" s="14"/>
      <c r="O745" s="14"/>
      <c r="P745" s="14"/>
      <c r="Q745" s="14"/>
      <c r="S745" s="8"/>
    </row>
    <row r="746">
      <c r="L746" s="14"/>
      <c r="M746" s="14"/>
      <c r="O746" s="14"/>
      <c r="P746" s="14"/>
      <c r="Q746" s="14"/>
      <c r="S746" s="8"/>
    </row>
    <row r="747">
      <c r="L747" s="14"/>
      <c r="M747" s="14"/>
      <c r="O747" s="14"/>
      <c r="P747" s="14"/>
      <c r="Q747" s="14"/>
      <c r="S747" s="8"/>
    </row>
    <row r="748">
      <c r="L748" s="14"/>
      <c r="M748" s="14"/>
      <c r="O748" s="14"/>
      <c r="P748" s="14"/>
      <c r="Q748" s="14"/>
      <c r="S748" s="8"/>
    </row>
    <row r="749">
      <c r="L749" s="14"/>
      <c r="M749" s="14"/>
      <c r="O749" s="14"/>
      <c r="P749" s="14"/>
      <c r="Q749" s="14"/>
      <c r="S749" s="8"/>
    </row>
    <row r="750">
      <c r="L750" s="14"/>
      <c r="M750" s="14"/>
      <c r="O750" s="14"/>
      <c r="P750" s="14"/>
      <c r="Q750" s="14"/>
      <c r="S750" s="8"/>
    </row>
    <row r="751">
      <c r="L751" s="14"/>
      <c r="M751" s="14"/>
      <c r="O751" s="14"/>
      <c r="P751" s="14"/>
      <c r="Q751" s="14"/>
      <c r="S751" s="8"/>
    </row>
    <row r="752">
      <c r="L752" s="14"/>
      <c r="M752" s="14"/>
      <c r="O752" s="14"/>
      <c r="P752" s="14"/>
      <c r="Q752" s="14"/>
      <c r="S752" s="8"/>
    </row>
    <row r="753">
      <c r="L753" s="14"/>
      <c r="M753" s="14"/>
      <c r="O753" s="14"/>
      <c r="P753" s="14"/>
      <c r="Q753" s="14"/>
      <c r="S753" s="8"/>
    </row>
    <row r="754">
      <c r="L754" s="14"/>
      <c r="M754" s="14"/>
      <c r="O754" s="14"/>
      <c r="P754" s="14"/>
      <c r="Q754" s="14"/>
      <c r="S754" s="8"/>
    </row>
    <row r="755">
      <c r="L755" s="14"/>
      <c r="M755" s="14"/>
      <c r="O755" s="14"/>
      <c r="P755" s="14"/>
      <c r="Q755" s="14"/>
      <c r="S755" s="8"/>
    </row>
    <row r="756">
      <c r="L756" s="14"/>
      <c r="M756" s="14"/>
      <c r="O756" s="14"/>
      <c r="P756" s="14"/>
      <c r="Q756" s="14"/>
      <c r="S756" s="8"/>
    </row>
    <row r="757">
      <c r="L757" s="14"/>
      <c r="M757" s="14"/>
      <c r="O757" s="14"/>
      <c r="P757" s="14"/>
      <c r="Q757" s="14"/>
      <c r="S757" s="8"/>
    </row>
    <row r="758">
      <c r="L758" s="14"/>
      <c r="M758" s="14"/>
      <c r="O758" s="14"/>
      <c r="P758" s="14"/>
      <c r="Q758" s="14"/>
      <c r="S758" s="8"/>
    </row>
    <row r="759">
      <c r="L759" s="14"/>
      <c r="M759" s="14"/>
      <c r="O759" s="14"/>
      <c r="P759" s="14"/>
      <c r="Q759" s="14"/>
      <c r="S759" s="8"/>
    </row>
    <row r="760">
      <c r="L760" s="14"/>
      <c r="M760" s="14"/>
      <c r="O760" s="14"/>
      <c r="P760" s="14"/>
      <c r="Q760" s="14"/>
      <c r="S760" s="8"/>
    </row>
    <row r="761">
      <c r="L761" s="14"/>
      <c r="M761" s="14"/>
      <c r="O761" s="14"/>
      <c r="P761" s="14"/>
      <c r="Q761" s="14"/>
      <c r="S761" s="8"/>
    </row>
    <row r="762">
      <c r="L762" s="14"/>
      <c r="M762" s="14"/>
      <c r="O762" s="14"/>
      <c r="P762" s="14"/>
      <c r="Q762" s="14"/>
      <c r="S762" s="8"/>
    </row>
    <row r="763">
      <c r="L763" s="14"/>
      <c r="M763" s="14"/>
      <c r="O763" s="14"/>
      <c r="P763" s="14"/>
      <c r="Q763" s="14"/>
      <c r="S763" s="8"/>
    </row>
    <row r="764">
      <c r="L764" s="14"/>
      <c r="M764" s="14"/>
      <c r="O764" s="14"/>
      <c r="P764" s="14"/>
      <c r="Q764" s="14"/>
      <c r="S764" s="8"/>
    </row>
    <row r="765">
      <c r="L765" s="14"/>
      <c r="M765" s="14"/>
      <c r="O765" s="14"/>
      <c r="P765" s="14"/>
      <c r="Q765" s="14"/>
      <c r="S765" s="8"/>
    </row>
    <row r="766">
      <c r="L766" s="14"/>
      <c r="M766" s="14"/>
      <c r="O766" s="14"/>
      <c r="P766" s="14"/>
      <c r="Q766" s="14"/>
      <c r="S766" s="8"/>
    </row>
    <row r="767">
      <c r="L767" s="14"/>
      <c r="M767" s="14"/>
      <c r="O767" s="14"/>
      <c r="P767" s="14"/>
      <c r="Q767" s="14"/>
      <c r="S767" s="8"/>
    </row>
    <row r="768">
      <c r="L768" s="14"/>
      <c r="M768" s="14"/>
      <c r="O768" s="14"/>
      <c r="P768" s="14"/>
      <c r="Q768" s="14"/>
      <c r="S768" s="8"/>
    </row>
    <row r="769">
      <c r="L769" s="14"/>
      <c r="M769" s="14"/>
      <c r="O769" s="14"/>
      <c r="P769" s="14"/>
      <c r="Q769" s="14"/>
      <c r="S769" s="8"/>
    </row>
    <row r="770">
      <c r="L770" s="14"/>
      <c r="M770" s="14"/>
      <c r="O770" s="14"/>
      <c r="P770" s="14"/>
      <c r="Q770" s="14"/>
      <c r="S770" s="8"/>
    </row>
    <row r="771">
      <c r="L771" s="14"/>
      <c r="M771" s="14"/>
      <c r="O771" s="14"/>
      <c r="P771" s="14"/>
      <c r="Q771" s="14"/>
      <c r="S771" s="8"/>
    </row>
    <row r="772">
      <c r="L772" s="14"/>
      <c r="M772" s="14"/>
      <c r="O772" s="14"/>
      <c r="P772" s="14"/>
      <c r="Q772" s="14"/>
      <c r="S772" s="8"/>
    </row>
    <row r="773">
      <c r="L773" s="14"/>
      <c r="M773" s="14"/>
      <c r="O773" s="14"/>
      <c r="P773" s="14"/>
      <c r="Q773" s="14"/>
      <c r="S773" s="8"/>
    </row>
    <row r="774">
      <c r="L774" s="14"/>
      <c r="M774" s="14"/>
      <c r="O774" s="14"/>
      <c r="P774" s="14"/>
      <c r="Q774" s="14"/>
      <c r="S774" s="8"/>
    </row>
    <row r="775">
      <c r="L775" s="14"/>
      <c r="M775" s="14"/>
      <c r="O775" s="14"/>
      <c r="P775" s="14"/>
      <c r="Q775" s="14"/>
      <c r="S775" s="8"/>
    </row>
    <row r="776">
      <c r="L776" s="14"/>
      <c r="M776" s="14"/>
      <c r="O776" s="14"/>
      <c r="P776" s="14"/>
      <c r="Q776" s="14"/>
      <c r="S776" s="8"/>
    </row>
    <row r="777">
      <c r="L777" s="14"/>
      <c r="M777" s="14"/>
      <c r="O777" s="14"/>
      <c r="P777" s="14"/>
      <c r="Q777" s="14"/>
      <c r="S777" s="8"/>
    </row>
    <row r="778">
      <c r="L778" s="14"/>
      <c r="M778" s="14"/>
      <c r="O778" s="14"/>
      <c r="P778" s="14"/>
      <c r="Q778" s="14"/>
      <c r="S778" s="8"/>
    </row>
    <row r="779">
      <c r="L779" s="14"/>
      <c r="M779" s="14"/>
      <c r="O779" s="14"/>
      <c r="P779" s="14"/>
      <c r="Q779" s="14"/>
      <c r="S779" s="8"/>
    </row>
    <row r="780">
      <c r="L780" s="14"/>
      <c r="M780" s="14"/>
      <c r="O780" s="14"/>
      <c r="P780" s="14"/>
      <c r="Q780" s="14"/>
      <c r="S780" s="8"/>
    </row>
    <row r="781">
      <c r="L781" s="14"/>
      <c r="M781" s="14"/>
      <c r="O781" s="14"/>
      <c r="P781" s="14"/>
      <c r="Q781" s="14"/>
      <c r="S781" s="8"/>
    </row>
    <row r="782">
      <c r="L782" s="14"/>
      <c r="M782" s="14"/>
      <c r="O782" s="14"/>
      <c r="P782" s="14"/>
      <c r="Q782" s="14"/>
      <c r="S782" s="8"/>
    </row>
    <row r="783">
      <c r="L783" s="14"/>
      <c r="M783" s="14"/>
      <c r="O783" s="14"/>
      <c r="P783" s="14"/>
      <c r="Q783" s="14"/>
      <c r="S783" s="8"/>
    </row>
    <row r="784">
      <c r="L784" s="14"/>
      <c r="M784" s="14"/>
      <c r="O784" s="14"/>
      <c r="P784" s="14"/>
      <c r="Q784" s="14"/>
      <c r="S784" s="8"/>
    </row>
    <row r="785">
      <c r="L785" s="14"/>
      <c r="M785" s="14"/>
      <c r="O785" s="14"/>
      <c r="P785" s="14"/>
      <c r="Q785" s="14"/>
      <c r="S785" s="8"/>
    </row>
    <row r="786">
      <c r="L786" s="14"/>
      <c r="M786" s="14"/>
      <c r="O786" s="14"/>
      <c r="P786" s="14"/>
      <c r="Q786" s="14"/>
      <c r="S786" s="8"/>
    </row>
    <row r="787">
      <c r="L787" s="14"/>
      <c r="M787" s="14"/>
      <c r="O787" s="14"/>
      <c r="P787" s="14"/>
      <c r="Q787" s="14"/>
      <c r="S787" s="8"/>
    </row>
    <row r="788">
      <c r="L788" s="14"/>
      <c r="M788" s="14"/>
      <c r="O788" s="14"/>
      <c r="P788" s="14"/>
      <c r="Q788" s="14"/>
      <c r="S788" s="8"/>
    </row>
    <row r="789">
      <c r="L789" s="14"/>
      <c r="M789" s="14"/>
      <c r="O789" s="14"/>
      <c r="P789" s="14"/>
      <c r="Q789" s="14"/>
      <c r="S789" s="8"/>
    </row>
    <row r="790">
      <c r="L790" s="14"/>
      <c r="M790" s="14"/>
      <c r="O790" s="14"/>
      <c r="P790" s="14"/>
      <c r="Q790" s="14"/>
      <c r="S790" s="8"/>
    </row>
    <row r="791">
      <c r="L791" s="14"/>
      <c r="M791" s="14"/>
      <c r="O791" s="14"/>
      <c r="P791" s="14"/>
      <c r="Q791" s="14"/>
      <c r="S791" s="8"/>
    </row>
    <row r="792">
      <c r="L792" s="14"/>
      <c r="M792" s="14"/>
      <c r="O792" s="14"/>
      <c r="P792" s="14"/>
      <c r="Q792" s="14"/>
      <c r="S792" s="8"/>
    </row>
    <row r="793">
      <c r="L793" s="14"/>
      <c r="M793" s="14"/>
      <c r="O793" s="14"/>
      <c r="P793" s="14"/>
      <c r="Q793" s="14"/>
      <c r="S793" s="8"/>
    </row>
    <row r="794">
      <c r="L794" s="14"/>
      <c r="M794" s="14"/>
      <c r="O794" s="14"/>
      <c r="P794" s="14"/>
      <c r="Q794" s="14"/>
      <c r="S794" s="8"/>
    </row>
    <row r="795">
      <c r="L795" s="14"/>
      <c r="M795" s="14"/>
      <c r="O795" s="14"/>
      <c r="P795" s="14"/>
      <c r="Q795" s="14"/>
      <c r="S795" s="8"/>
    </row>
    <row r="796">
      <c r="L796" s="14"/>
      <c r="M796" s="14"/>
      <c r="O796" s="14"/>
      <c r="P796" s="14"/>
      <c r="Q796" s="14"/>
      <c r="S796" s="8"/>
    </row>
    <row r="797">
      <c r="L797" s="14"/>
      <c r="M797" s="14"/>
      <c r="O797" s="14"/>
      <c r="P797" s="14"/>
      <c r="Q797" s="14"/>
      <c r="S797" s="8"/>
    </row>
    <row r="798">
      <c r="L798" s="14"/>
      <c r="M798" s="14"/>
      <c r="O798" s="14"/>
      <c r="P798" s="14"/>
      <c r="Q798" s="14"/>
      <c r="S798" s="8"/>
    </row>
    <row r="799">
      <c r="L799" s="14"/>
      <c r="M799" s="14"/>
      <c r="O799" s="14"/>
      <c r="P799" s="14"/>
      <c r="Q799" s="14"/>
      <c r="S799" s="8"/>
    </row>
    <row r="800">
      <c r="L800" s="14"/>
      <c r="M800" s="14"/>
      <c r="O800" s="14"/>
      <c r="P800" s="14"/>
      <c r="Q800" s="14"/>
      <c r="S800" s="8"/>
    </row>
    <row r="801">
      <c r="L801" s="14"/>
      <c r="M801" s="14"/>
      <c r="O801" s="14"/>
      <c r="P801" s="14"/>
      <c r="Q801" s="14"/>
      <c r="S801" s="8"/>
    </row>
    <row r="802">
      <c r="L802" s="14"/>
      <c r="M802" s="14"/>
      <c r="O802" s="14"/>
      <c r="P802" s="14"/>
      <c r="Q802" s="14"/>
      <c r="S802" s="8"/>
    </row>
    <row r="803">
      <c r="L803" s="14"/>
      <c r="M803" s="14"/>
      <c r="O803" s="14"/>
      <c r="P803" s="14"/>
      <c r="Q803" s="14"/>
      <c r="S803" s="8"/>
    </row>
    <row r="804">
      <c r="L804" s="14"/>
      <c r="M804" s="14"/>
      <c r="O804" s="14"/>
      <c r="P804" s="14"/>
      <c r="Q804" s="14"/>
      <c r="S804" s="8"/>
    </row>
    <row r="805">
      <c r="L805" s="14"/>
      <c r="M805" s="14"/>
      <c r="O805" s="14"/>
      <c r="P805" s="14"/>
      <c r="Q805" s="14"/>
      <c r="S805" s="8"/>
    </row>
    <row r="806">
      <c r="L806" s="14"/>
      <c r="M806" s="14"/>
      <c r="O806" s="14"/>
      <c r="P806" s="14"/>
      <c r="Q806" s="14"/>
      <c r="S806" s="8"/>
    </row>
    <row r="807">
      <c r="L807" s="14"/>
      <c r="M807" s="14"/>
      <c r="O807" s="14"/>
      <c r="P807" s="14"/>
      <c r="Q807" s="14"/>
      <c r="S807" s="8"/>
    </row>
    <row r="808">
      <c r="L808" s="14"/>
      <c r="M808" s="14"/>
      <c r="O808" s="14"/>
      <c r="P808" s="14"/>
      <c r="Q808" s="14"/>
      <c r="S808" s="8"/>
    </row>
    <row r="809">
      <c r="L809" s="14"/>
      <c r="M809" s="14"/>
      <c r="O809" s="14"/>
      <c r="P809" s="14"/>
      <c r="Q809" s="14"/>
      <c r="S809" s="8"/>
    </row>
    <row r="810">
      <c r="L810" s="14"/>
      <c r="M810" s="14"/>
      <c r="O810" s="14"/>
      <c r="P810" s="14"/>
      <c r="Q810" s="14"/>
      <c r="S810" s="8"/>
    </row>
    <row r="811">
      <c r="L811" s="14"/>
      <c r="M811" s="14"/>
      <c r="O811" s="14"/>
      <c r="P811" s="14"/>
      <c r="Q811" s="14"/>
      <c r="S811" s="8"/>
    </row>
    <row r="812">
      <c r="L812" s="14"/>
      <c r="M812" s="14"/>
      <c r="O812" s="14"/>
      <c r="P812" s="14"/>
      <c r="Q812" s="14"/>
      <c r="S812" s="8"/>
    </row>
    <row r="813">
      <c r="L813" s="14"/>
      <c r="M813" s="14"/>
      <c r="O813" s="14"/>
      <c r="P813" s="14"/>
      <c r="Q813" s="14"/>
      <c r="S813" s="8"/>
    </row>
    <row r="814">
      <c r="L814" s="14"/>
      <c r="M814" s="14"/>
      <c r="O814" s="14"/>
      <c r="P814" s="14"/>
      <c r="Q814" s="14"/>
      <c r="S814" s="8"/>
    </row>
    <row r="815">
      <c r="L815" s="14"/>
      <c r="M815" s="14"/>
      <c r="O815" s="14"/>
      <c r="P815" s="14"/>
      <c r="Q815" s="14"/>
      <c r="S815" s="8"/>
    </row>
    <row r="816">
      <c r="L816" s="14"/>
      <c r="M816" s="14"/>
      <c r="O816" s="14"/>
      <c r="P816" s="14"/>
      <c r="Q816" s="14"/>
      <c r="S816" s="8"/>
    </row>
    <row r="817">
      <c r="L817" s="14"/>
      <c r="M817" s="14"/>
      <c r="O817" s="14"/>
      <c r="P817" s="14"/>
      <c r="Q817" s="14"/>
      <c r="S817" s="8"/>
    </row>
    <row r="818">
      <c r="L818" s="14"/>
      <c r="M818" s="14"/>
      <c r="O818" s="14"/>
      <c r="P818" s="14"/>
      <c r="Q818" s="14"/>
      <c r="S818" s="8"/>
    </row>
    <row r="819">
      <c r="L819" s="14"/>
      <c r="M819" s="14"/>
      <c r="O819" s="14"/>
      <c r="P819" s="14"/>
      <c r="Q819" s="14"/>
      <c r="S819" s="8"/>
    </row>
    <row r="820">
      <c r="L820" s="14"/>
      <c r="M820" s="14"/>
      <c r="O820" s="14"/>
      <c r="P820" s="14"/>
      <c r="Q820" s="14"/>
      <c r="S820" s="8"/>
    </row>
    <row r="821">
      <c r="L821" s="14"/>
      <c r="M821" s="14"/>
      <c r="O821" s="14"/>
      <c r="P821" s="14"/>
      <c r="Q821" s="14"/>
      <c r="S821" s="8"/>
    </row>
    <row r="822">
      <c r="L822" s="14"/>
      <c r="M822" s="14"/>
      <c r="O822" s="14"/>
      <c r="P822" s="14"/>
      <c r="Q822" s="14"/>
      <c r="S822" s="8"/>
    </row>
    <row r="823">
      <c r="L823" s="14"/>
      <c r="M823" s="14"/>
      <c r="O823" s="14"/>
      <c r="P823" s="14"/>
      <c r="Q823" s="14"/>
      <c r="S823" s="8"/>
    </row>
    <row r="824">
      <c r="L824" s="14"/>
      <c r="M824" s="14"/>
      <c r="O824" s="14"/>
      <c r="P824" s="14"/>
      <c r="Q824" s="14"/>
      <c r="S824" s="8"/>
    </row>
    <row r="825">
      <c r="L825" s="14"/>
      <c r="M825" s="14"/>
      <c r="O825" s="14"/>
      <c r="P825" s="14"/>
      <c r="Q825" s="14"/>
      <c r="S825" s="8"/>
    </row>
    <row r="826">
      <c r="L826" s="14"/>
      <c r="M826" s="14"/>
      <c r="O826" s="14"/>
      <c r="P826" s="14"/>
      <c r="Q826" s="14"/>
      <c r="S826" s="8"/>
    </row>
    <row r="827">
      <c r="L827" s="14"/>
      <c r="M827" s="14"/>
      <c r="O827" s="14"/>
      <c r="P827" s="14"/>
      <c r="Q827" s="14"/>
      <c r="S827" s="8"/>
    </row>
    <row r="828">
      <c r="L828" s="14"/>
      <c r="M828" s="14"/>
      <c r="O828" s="14"/>
      <c r="P828" s="14"/>
      <c r="Q828" s="14"/>
      <c r="S828" s="8"/>
    </row>
    <row r="829">
      <c r="L829" s="14"/>
      <c r="M829" s="14"/>
      <c r="O829" s="14"/>
      <c r="P829" s="14"/>
      <c r="Q829" s="14"/>
      <c r="S829" s="8"/>
    </row>
    <row r="830">
      <c r="L830" s="14"/>
      <c r="M830" s="14"/>
      <c r="O830" s="14"/>
      <c r="P830" s="14"/>
      <c r="Q830" s="14"/>
      <c r="S830" s="8"/>
    </row>
    <row r="831">
      <c r="L831" s="14"/>
      <c r="M831" s="14"/>
      <c r="O831" s="14"/>
      <c r="P831" s="14"/>
      <c r="Q831" s="14"/>
      <c r="S831" s="8"/>
    </row>
    <row r="832">
      <c r="L832" s="14"/>
      <c r="M832" s="14"/>
      <c r="O832" s="14"/>
      <c r="P832" s="14"/>
      <c r="Q832" s="14"/>
      <c r="S832" s="8"/>
    </row>
    <row r="833">
      <c r="L833" s="14"/>
      <c r="M833" s="14"/>
      <c r="O833" s="14"/>
      <c r="P833" s="14"/>
      <c r="Q833" s="14"/>
      <c r="S833" s="8"/>
    </row>
    <row r="834">
      <c r="L834" s="14"/>
      <c r="M834" s="14"/>
      <c r="O834" s="14"/>
      <c r="P834" s="14"/>
      <c r="Q834" s="14"/>
      <c r="S834" s="8"/>
    </row>
    <row r="835">
      <c r="L835" s="14"/>
      <c r="M835" s="14"/>
      <c r="O835" s="14"/>
      <c r="P835" s="14"/>
      <c r="Q835" s="14"/>
      <c r="S835" s="8"/>
    </row>
    <row r="836">
      <c r="L836" s="14"/>
      <c r="M836" s="14"/>
      <c r="O836" s="14"/>
      <c r="P836" s="14"/>
      <c r="Q836" s="14"/>
      <c r="S836" s="8"/>
    </row>
    <row r="837">
      <c r="L837" s="14"/>
      <c r="M837" s="14"/>
      <c r="O837" s="14"/>
      <c r="P837" s="14"/>
      <c r="Q837" s="14"/>
      <c r="S837" s="8"/>
    </row>
    <row r="838">
      <c r="L838" s="14"/>
      <c r="M838" s="14"/>
      <c r="O838" s="14"/>
      <c r="P838" s="14"/>
      <c r="Q838" s="14"/>
      <c r="S838" s="8"/>
    </row>
    <row r="839">
      <c r="L839" s="14"/>
      <c r="M839" s="14"/>
      <c r="O839" s="14"/>
      <c r="P839" s="14"/>
      <c r="Q839" s="14"/>
      <c r="S839" s="8"/>
    </row>
    <row r="840">
      <c r="L840" s="14"/>
      <c r="M840" s="14"/>
      <c r="O840" s="14"/>
      <c r="P840" s="14"/>
      <c r="Q840" s="14"/>
      <c r="S840" s="8"/>
    </row>
    <row r="841">
      <c r="L841" s="14"/>
      <c r="M841" s="14"/>
      <c r="O841" s="14"/>
      <c r="P841" s="14"/>
      <c r="Q841" s="14"/>
      <c r="S841" s="8"/>
    </row>
    <row r="842">
      <c r="L842" s="14"/>
      <c r="M842" s="14"/>
      <c r="O842" s="14"/>
      <c r="P842" s="14"/>
      <c r="Q842" s="14"/>
      <c r="S842" s="8"/>
    </row>
    <row r="843">
      <c r="L843" s="14"/>
      <c r="M843" s="14"/>
      <c r="O843" s="14"/>
      <c r="P843" s="14"/>
      <c r="Q843" s="14"/>
      <c r="S843" s="8"/>
    </row>
    <row r="844">
      <c r="L844" s="14"/>
      <c r="M844" s="14"/>
      <c r="O844" s="14"/>
      <c r="P844" s="14"/>
      <c r="Q844" s="14"/>
      <c r="S844" s="8"/>
    </row>
    <row r="845">
      <c r="L845" s="14"/>
      <c r="M845" s="14"/>
      <c r="O845" s="14"/>
      <c r="P845" s="14"/>
      <c r="Q845" s="14"/>
      <c r="S845" s="8"/>
    </row>
    <row r="846">
      <c r="L846" s="14"/>
      <c r="M846" s="14"/>
      <c r="O846" s="14"/>
      <c r="P846" s="14"/>
      <c r="Q846" s="14"/>
      <c r="S846" s="8"/>
    </row>
    <row r="847">
      <c r="L847" s="14"/>
      <c r="M847" s="14"/>
      <c r="O847" s="14"/>
      <c r="P847" s="14"/>
      <c r="Q847" s="14"/>
      <c r="S847" s="8"/>
    </row>
    <row r="848">
      <c r="L848" s="14"/>
      <c r="M848" s="14"/>
      <c r="O848" s="14"/>
      <c r="P848" s="14"/>
      <c r="Q848" s="14"/>
      <c r="S848" s="8"/>
    </row>
    <row r="849">
      <c r="L849" s="14"/>
      <c r="M849" s="14"/>
      <c r="O849" s="14"/>
      <c r="P849" s="14"/>
      <c r="Q849" s="14"/>
      <c r="S849" s="8"/>
    </row>
    <row r="850">
      <c r="L850" s="14"/>
      <c r="M850" s="14"/>
      <c r="O850" s="14"/>
      <c r="P850" s="14"/>
      <c r="Q850" s="14"/>
      <c r="S850" s="8"/>
    </row>
    <row r="851">
      <c r="L851" s="14"/>
      <c r="M851" s="14"/>
      <c r="O851" s="14"/>
      <c r="P851" s="14"/>
      <c r="Q851" s="14"/>
      <c r="S851" s="8"/>
    </row>
    <row r="852">
      <c r="L852" s="14"/>
      <c r="M852" s="14"/>
      <c r="O852" s="14"/>
      <c r="P852" s="14"/>
      <c r="Q852" s="14"/>
      <c r="S852" s="8"/>
    </row>
    <row r="853">
      <c r="L853" s="14"/>
      <c r="M853" s="14"/>
      <c r="O853" s="14"/>
      <c r="P853" s="14"/>
      <c r="Q853" s="14"/>
      <c r="S853" s="8"/>
    </row>
    <row r="854">
      <c r="L854" s="14"/>
      <c r="M854" s="14"/>
      <c r="O854" s="14"/>
      <c r="P854" s="14"/>
      <c r="Q854" s="14"/>
      <c r="S854" s="8"/>
    </row>
    <row r="855">
      <c r="L855" s="14"/>
      <c r="M855" s="14"/>
      <c r="O855" s="14"/>
      <c r="P855" s="14"/>
      <c r="Q855" s="14"/>
      <c r="S855" s="8"/>
    </row>
    <row r="856">
      <c r="L856" s="14"/>
      <c r="M856" s="14"/>
      <c r="O856" s="14"/>
      <c r="P856" s="14"/>
      <c r="Q856" s="14"/>
      <c r="S856" s="8"/>
    </row>
    <row r="857">
      <c r="L857" s="14"/>
      <c r="M857" s="14"/>
      <c r="O857" s="14"/>
      <c r="P857" s="14"/>
      <c r="Q857" s="14"/>
      <c r="S857" s="8"/>
    </row>
    <row r="858">
      <c r="L858" s="14"/>
      <c r="M858" s="14"/>
      <c r="O858" s="14"/>
      <c r="P858" s="14"/>
      <c r="Q858" s="14"/>
      <c r="S858" s="8"/>
    </row>
    <row r="859">
      <c r="L859" s="14"/>
      <c r="M859" s="14"/>
      <c r="O859" s="14"/>
      <c r="P859" s="14"/>
      <c r="Q859" s="14"/>
      <c r="S859" s="8"/>
    </row>
    <row r="860">
      <c r="L860" s="14"/>
      <c r="M860" s="14"/>
      <c r="O860" s="14"/>
      <c r="P860" s="14"/>
      <c r="Q860" s="14"/>
      <c r="S860" s="8"/>
    </row>
    <row r="861">
      <c r="L861" s="14"/>
      <c r="M861" s="14"/>
      <c r="O861" s="14"/>
      <c r="P861" s="14"/>
      <c r="Q861" s="14"/>
      <c r="S861" s="8"/>
    </row>
    <row r="862">
      <c r="L862" s="14"/>
      <c r="M862" s="14"/>
      <c r="O862" s="14"/>
      <c r="P862" s="14"/>
      <c r="Q862" s="14"/>
      <c r="S862" s="8"/>
    </row>
    <row r="863">
      <c r="L863" s="14"/>
      <c r="M863" s="14"/>
      <c r="O863" s="14"/>
      <c r="P863" s="14"/>
      <c r="Q863" s="14"/>
      <c r="S863" s="8"/>
    </row>
    <row r="864">
      <c r="L864" s="14"/>
      <c r="M864" s="14"/>
      <c r="O864" s="14"/>
      <c r="P864" s="14"/>
      <c r="Q864" s="14"/>
      <c r="S864" s="8"/>
    </row>
    <row r="865">
      <c r="L865" s="14"/>
      <c r="M865" s="14"/>
      <c r="O865" s="14"/>
      <c r="P865" s="14"/>
      <c r="Q865" s="14"/>
      <c r="S865" s="8"/>
    </row>
    <row r="866">
      <c r="L866" s="14"/>
      <c r="M866" s="14"/>
      <c r="O866" s="14"/>
      <c r="P866" s="14"/>
      <c r="Q866" s="14"/>
      <c r="S866" s="8"/>
    </row>
    <row r="867">
      <c r="L867" s="14"/>
      <c r="M867" s="14"/>
      <c r="O867" s="14"/>
      <c r="P867" s="14"/>
      <c r="Q867" s="14"/>
      <c r="S867" s="8"/>
    </row>
    <row r="868">
      <c r="L868" s="14"/>
      <c r="M868" s="14"/>
      <c r="O868" s="14"/>
      <c r="P868" s="14"/>
      <c r="Q868" s="14"/>
      <c r="S868" s="8"/>
    </row>
    <row r="869">
      <c r="L869" s="14"/>
      <c r="M869" s="14"/>
      <c r="O869" s="14"/>
      <c r="P869" s="14"/>
      <c r="Q869" s="14"/>
      <c r="S869" s="8"/>
    </row>
    <row r="870">
      <c r="L870" s="14"/>
      <c r="M870" s="14"/>
      <c r="O870" s="14"/>
      <c r="P870" s="14"/>
      <c r="Q870" s="14"/>
      <c r="S870" s="8"/>
    </row>
    <row r="871">
      <c r="L871" s="14"/>
      <c r="M871" s="14"/>
      <c r="O871" s="14"/>
      <c r="P871" s="14"/>
      <c r="Q871" s="14"/>
      <c r="S871" s="8"/>
    </row>
    <row r="872">
      <c r="L872" s="14"/>
      <c r="M872" s="14"/>
      <c r="O872" s="14"/>
      <c r="P872" s="14"/>
      <c r="Q872" s="14"/>
      <c r="S872" s="8"/>
    </row>
    <row r="873">
      <c r="L873" s="14"/>
      <c r="M873" s="14"/>
      <c r="O873" s="14"/>
      <c r="P873" s="14"/>
      <c r="Q873" s="14"/>
      <c r="S873" s="8"/>
    </row>
    <row r="874">
      <c r="L874" s="14"/>
      <c r="M874" s="14"/>
      <c r="O874" s="14"/>
      <c r="P874" s="14"/>
      <c r="Q874" s="14"/>
      <c r="S874" s="8"/>
    </row>
    <row r="875">
      <c r="L875" s="14"/>
      <c r="M875" s="14"/>
      <c r="O875" s="14"/>
      <c r="P875" s="14"/>
      <c r="Q875" s="14"/>
      <c r="S875" s="8"/>
    </row>
    <row r="876">
      <c r="L876" s="14"/>
      <c r="M876" s="14"/>
      <c r="O876" s="14"/>
      <c r="P876" s="14"/>
      <c r="Q876" s="14"/>
      <c r="S876" s="8"/>
    </row>
    <row r="877">
      <c r="L877" s="14"/>
      <c r="M877" s="14"/>
      <c r="O877" s="14"/>
      <c r="P877" s="14"/>
      <c r="Q877" s="14"/>
      <c r="S877" s="8"/>
    </row>
    <row r="878">
      <c r="L878" s="14"/>
      <c r="M878" s="14"/>
      <c r="O878" s="14"/>
      <c r="P878" s="14"/>
      <c r="Q878" s="14"/>
      <c r="S878" s="8"/>
    </row>
    <row r="879">
      <c r="L879" s="14"/>
      <c r="M879" s="14"/>
      <c r="O879" s="14"/>
      <c r="P879" s="14"/>
      <c r="Q879" s="14"/>
      <c r="S879" s="8"/>
    </row>
    <row r="880">
      <c r="L880" s="14"/>
      <c r="M880" s="14"/>
      <c r="O880" s="14"/>
      <c r="P880" s="14"/>
      <c r="Q880" s="14"/>
      <c r="S880" s="8"/>
    </row>
    <row r="881">
      <c r="L881" s="14"/>
      <c r="M881" s="14"/>
      <c r="O881" s="14"/>
      <c r="P881" s="14"/>
      <c r="Q881" s="14"/>
      <c r="S881" s="8"/>
    </row>
    <row r="882">
      <c r="L882" s="14"/>
      <c r="M882" s="14"/>
      <c r="O882" s="14"/>
      <c r="P882" s="14"/>
      <c r="Q882" s="14"/>
      <c r="S882" s="8"/>
    </row>
    <row r="883">
      <c r="L883" s="14"/>
      <c r="M883" s="14"/>
      <c r="O883" s="14"/>
      <c r="P883" s="14"/>
      <c r="Q883" s="14"/>
      <c r="S883" s="8"/>
    </row>
    <row r="884">
      <c r="L884" s="14"/>
      <c r="M884" s="14"/>
      <c r="O884" s="14"/>
      <c r="P884" s="14"/>
      <c r="Q884" s="14"/>
      <c r="S884" s="8"/>
    </row>
    <row r="885">
      <c r="L885" s="14"/>
      <c r="M885" s="14"/>
      <c r="O885" s="14"/>
      <c r="P885" s="14"/>
      <c r="Q885" s="14"/>
      <c r="S885" s="8"/>
    </row>
    <row r="886">
      <c r="L886" s="14"/>
      <c r="M886" s="14"/>
      <c r="O886" s="14"/>
      <c r="P886" s="14"/>
      <c r="Q886" s="14"/>
      <c r="S886" s="8"/>
    </row>
    <row r="887">
      <c r="L887" s="14"/>
      <c r="M887" s="14"/>
      <c r="O887" s="14"/>
      <c r="P887" s="14"/>
      <c r="Q887" s="14"/>
      <c r="S887" s="8"/>
    </row>
    <row r="888">
      <c r="L888" s="14"/>
      <c r="M888" s="14"/>
      <c r="O888" s="14"/>
      <c r="P888" s="14"/>
      <c r="Q888" s="14"/>
      <c r="S888" s="8"/>
    </row>
    <row r="889">
      <c r="L889" s="14"/>
      <c r="M889" s="14"/>
      <c r="O889" s="14"/>
      <c r="P889" s="14"/>
      <c r="Q889" s="14"/>
      <c r="S889" s="8"/>
    </row>
    <row r="890">
      <c r="L890" s="14"/>
      <c r="M890" s="14"/>
      <c r="O890" s="14"/>
      <c r="P890" s="14"/>
      <c r="Q890" s="14"/>
      <c r="S890" s="8"/>
    </row>
    <row r="891">
      <c r="L891" s="14"/>
      <c r="M891" s="14"/>
      <c r="O891" s="14"/>
      <c r="P891" s="14"/>
      <c r="Q891" s="14"/>
      <c r="S891" s="8"/>
    </row>
    <row r="892">
      <c r="L892" s="14"/>
      <c r="M892" s="14"/>
      <c r="O892" s="14"/>
      <c r="P892" s="14"/>
      <c r="Q892" s="14"/>
      <c r="S892" s="8"/>
    </row>
    <row r="893">
      <c r="L893" s="14"/>
      <c r="M893" s="14"/>
      <c r="O893" s="14"/>
      <c r="P893" s="14"/>
      <c r="Q893" s="14"/>
      <c r="S893" s="8"/>
    </row>
    <row r="894">
      <c r="L894" s="14"/>
      <c r="M894" s="14"/>
      <c r="O894" s="14"/>
      <c r="P894" s="14"/>
      <c r="Q894" s="14"/>
      <c r="S894" s="8"/>
    </row>
    <row r="895">
      <c r="L895" s="14"/>
      <c r="M895" s="14"/>
      <c r="O895" s="14"/>
      <c r="P895" s="14"/>
      <c r="Q895" s="14"/>
      <c r="S895" s="8"/>
    </row>
    <row r="896">
      <c r="L896" s="14"/>
      <c r="M896" s="14"/>
      <c r="O896" s="14"/>
      <c r="P896" s="14"/>
      <c r="Q896" s="14"/>
      <c r="S896" s="8"/>
    </row>
    <row r="897">
      <c r="L897" s="14"/>
      <c r="M897" s="14"/>
      <c r="O897" s="14"/>
      <c r="P897" s="14"/>
      <c r="Q897" s="14"/>
      <c r="S897" s="8"/>
    </row>
    <row r="898">
      <c r="L898" s="14"/>
      <c r="M898" s="14"/>
      <c r="O898" s="14"/>
      <c r="P898" s="14"/>
      <c r="Q898" s="14"/>
      <c r="S898" s="8"/>
    </row>
    <row r="899">
      <c r="L899" s="14"/>
      <c r="M899" s="14"/>
      <c r="O899" s="14"/>
      <c r="P899" s="14"/>
      <c r="Q899" s="14"/>
      <c r="S899" s="8"/>
    </row>
    <row r="900">
      <c r="L900" s="14"/>
      <c r="M900" s="14"/>
      <c r="O900" s="14"/>
      <c r="P900" s="14"/>
      <c r="Q900" s="14"/>
      <c r="S900" s="8"/>
    </row>
    <row r="901">
      <c r="L901" s="14"/>
      <c r="M901" s="14"/>
      <c r="O901" s="14"/>
      <c r="P901" s="14"/>
      <c r="Q901" s="14"/>
      <c r="S901" s="8"/>
    </row>
    <row r="902">
      <c r="L902" s="14"/>
      <c r="M902" s="14"/>
      <c r="O902" s="14"/>
      <c r="P902" s="14"/>
      <c r="Q902" s="14"/>
      <c r="S902" s="8"/>
    </row>
    <row r="903">
      <c r="L903" s="14"/>
      <c r="M903" s="14"/>
      <c r="O903" s="14"/>
      <c r="P903" s="14"/>
      <c r="Q903" s="14"/>
      <c r="S903" s="8"/>
    </row>
    <row r="904">
      <c r="L904" s="14"/>
      <c r="M904" s="14"/>
      <c r="O904" s="14"/>
      <c r="P904" s="14"/>
      <c r="Q904" s="14"/>
      <c r="S904" s="8"/>
    </row>
    <row r="905">
      <c r="L905" s="14"/>
      <c r="M905" s="14"/>
      <c r="O905" s="14"/>
      <c r="P905" s="14"/>
      <c r="Q905" s="14"/>
      <c r="S905" s="8"/>
    </row>
    <row r="906">
      <c r="L906" s="14"/>
      <c r="M906" s="14"/>
      <c r="O906" s="14"/>
      <c r="P906" s="14"/>
      <c r="Q906" s="14"/>
      <c r="S906" s="8"/>
    </row>
    <row r="907">
      <c r="L907" s="14"/>
      <c r="M907" s="14"/>
      <c r="O907" s="14"/>
      <c r="P907" s="14"/>
      <c r="Q907" s="14"/>
      <c r="S907" s="8"/>
    </row>
    <row r="908">
      <c r="L908" s="14"/>
      <c r="M908" s="14"/>
      <c r="O908" s="14"/>
      <c r="P908" s="14"/>
      <c r="Q908" s="14"/>
      <c r="S908" s="8"/>
    </row>
    <row r="909">
      <c r="L909" s="14"/>
      <c r="M909" s="14"/>
      <c r="O909" s="14"/>
      <c r="P909" s="14"/>
      <c r="Q909" s="14"/>
      <c r="S909" s="8"/>
    </row>
    <row r="910">
      <c r="L910" s="14"/>
      <c r="M910" s="14"/>
      <c r="O910" s="14"/>
      <c r="P910" s="14"/>
      <c r="Q910" s="14"/>
      <c r="S910" s="8"/>
    </row>
    <row r="911">
      <c r="L911" s="14"/>
      <c r="M911" s="14"/>
      <c r="O911" s="14"/>
      <c r="P911" s="14"/>
      <c r="Q911" s="14"/>
      <c r="S911" s="8"/>
    </row>
    <row r="912">
      <c r="L912" s="14"/>
      <c r="M912" s="14"/>
      <c r="O912" s="14"/>
      <c r="P912" s="14"/>
      <c r="Q912" s="14"/>
      <c r="S912" s="8"/>
    </row>
    <row r="913">
      <c r="L913" s="14"/>
      <c r="M913" s="14"/>
      <c r="O913" s="14"/>
      <c r="P913" s="14"/>
      <c r="Q913" s="14"/>
      <c r="S913" s="8"/>
    </row>
    <row r="914">
      <c r="L914" s="14"/>
      <c r="M914" s="14"/>
      <c r="O914" s="14"/>
      <c r="P914" s="14"/>
      <c r="Q914" s="14"/>
      <c r="S914" s="8"/>
    </row>
    <row r="915">
      <c r="L915" s="14"/>
      <c r="M915" s="14"/>
      <c r="O915" s="14"/>
      <c r="P915" s="14"/>
      <c r="Q915" s="14"/>
      <c r="S915" s="8"/>
    </row>
    <row r="916">
      <c r="L916" s="14"/>
      <c r="M916" s="14"/>
      <c r="O916" s="14"/>
      <c r="P916" s="14"/>
      <c r="Q916" s="14"/>
      <c r="S916" s="8"/>
    </row>
    <row r="917">
      <c r="L917" s="14"/>
      <c r="M917" s="14"/>
      <c r="O917" s="14"/>
      <c r="P917" s="14"/>
      <c r="Q917" s="14"/>
      <c r="S917" s="8"/>
    </row>
    <row r="918">
      <c r="L918" s="14"/>
      <c r="M918" s="14"/>
      <c r="O918" s="14"/>
      <c r="P918" s="14"/>
      <c r="Q918" s="14"/>
      <c r="S918" s="8"/>
    </row>
    <row r="919">
      <c r="L919" s="14"/>
      <c r="M919" s="14"/>
      <c r="O919" s="14"/>
      <c r="P919" s="14"/>
      <c r="Q919" s="14"/>
      <c r="S919" s="8"/>
    </row>
    <row r="920">
      <c r="L920" s="14"/>
      <c r="M920" s="14"/>
      <c r="O920" s="14"/>
      <c r="P920" s="14"/>
      <c r="Q920" s="14"/>
      <c r="S920" s="8"/>
    </row>
    <row r="921">
      <c r="L921" s="14"/>
      <c r="M921" s="14"/>
      <c r="O921" s="14"/>
      <c r="P921" s="14"/>
      <c r="Q921" s="14"/>
      <c r="S921" s="8"/>
    </row>
    <row r="922">
      <c r="L922" s="14"/>
      <c r="M922" s="14"/>
      <c r="O922" s="14"/>
      <c r="P922" s="14"/>
      <c r="Q922" s="14"/>
      <c r="S922" s="8"/>
    </row>
    <row r="923">
      <c r="L923" s="14"/>
      <c r="M923" s="14"/>
      <c r="O923" s="14"/>
      <c r="P923" s="14"/>
      <c r="Q923" s="14"/>
      <c r="S923" s="8"/>
    </row>
    <row r="924">
      <c r="L924" s="14"/>
      <c r="M924" s="14"/>
      <c r="O924" s="14"/>
      <c r="P924" s="14"/>
      <c r="Q924" s="14"/>
      <c r="S924" s="8"/>
    </row>
    <row r="925">
      <c r="L925" s="14"/>
      <c r="M925" s="14"/>
      <c r="O925" s="14"/>
      <c r="P925" s="14"/>
      <c r="Q925" s="14"/>
      <c r="S925" s="8"/>
    </row>
    <row r="926">
      <c r="L926" s="14"/>
      <c r="M926" s="14"/>
      <c r="O926" s="14"/>
      <c r="P926" s="14"/>
      <c r="Q926" s="14"/>
      <c r="S926" s="8"/>
    </row>
    <row r="927">
      <c r="L927" s="14"/>
      <c r="M927" s="14"/>
      <c r="O927" s="14"/>
      <c r="P927" s="14"/>
      <c r="Q927" s="14"/>
      <c r="S927" s="8"/>
    </row>
    <row r="928">
      <c r="L928" s="14"/>
      <c r="M928" s="14"/>
      <c r="O928" s="14"/>
      <c r="P928" s="14"/>
      <c r="Q928" s="14"/>
      <c r="S928" s="8"/>
    </row>
    <row r="929">
      <c r="L929" s="14"/>
      <c r="M929" s="14"/>
      <c r="O929" s="14"/>
      <c r="P929" s="14"/>
      <c r="Q929" s="14"/>
      <c r="S929" s="8"/>
    </row>
    <row r="930">
      <c r="L930" s="14"/>
      <c r="M930" s="14"/>
      <c r="O930" s="14"/>
      <c r="P930" s="14"/>
      <c r="Q930" s="14"/>
      <c r="S930" s="8"/>
    </row>
    <row r="931">
      <c r="L931" s="14"/>
      <c r="M931" s="14"/>
      <c r="O931" s="14"/>
      <c r="P931" s="14"/>
      <c r="Q931" s="14"/>
      <c r="S931" s="8"/>
    </row>
    <row r="932">
      <c r="L932" s="14"/>
      <c r="M932" s="14"/>
      <c r="O932" s="14"/>
      <c r="P932" s="14"/>
      <c r="Q932" s="14"/>
      <c r="S932" s="8"/>
    </row>
    <row r="933">
      <c r="L933" s="14"/>
      <c r="M933" s="14"/>
      <c r="O933" s="14"/>
      <c r="P933" s="14"/>
      <c r="Q933" s="14"/>
      <c r="S933" s="8"/>
    </row>
    <row r="934">
      <c r="L934" s="14"/>
      <c r="M934" s="14"/>
      <c r="O934" s="14"/>
      <c r="P934" s="14"/>
      <c r="Q934" s="14"/>
      <c r="S934" s="8"/>
    </row>
    <row r="935">
      <c r="L935" s="14"/>
      <c r="M935" s="14"/>
      <c r="O935" s="14"/>
      <c r="P935" s="14"/>
      <c r="Q935" s="14"/>
      <c r="S935" s="8"/>
    </row>
    <row r="936">
      <c r="L936" s="14"/>
      <c r="M936" s="14"/>
      <c r="O936" s="14"/>
      <c r="P936" s="14"/>
      <c r="Q936" s="14"/>
      <c r="S936" s="8"/>
    </row>
    <row r="937">
      <c r="L937" s="14"/>
      <c r="M937" s="14"/>
      <c r="O937" s="14"/>
      <c r="P937" s="14"/>
      <c r="Q937" s="14"/>
      <c r="S937" s="8"/>
    </row>
    <row r="938">
      <c r="L938" s="14"/>
      <c r="M938" s="14"/>
      <c r="O938" s="14"/>
      <c r="P938" s="14"/>
      <c r="Q938" s="14"/>
      <c r="S938" s="8"/>
    </row>
    <row r="939">
      <c r="L939" s="14"/>
      <c r="M939" s="14"/>
      <c r="O939" s="14"/>
      <c r="P939" s="14"/>
      <c r="Q939" s="14"/>
      <c r="S939" s="8"/>
    </row>
    <row r="940">
      <c r="L940" s="14"/>
      <c r="M940" s="14"/>
      <c r="O940" s="14"/>
      <c r="P940" s="14"/>
      <c r="Q940" s="14"/>
      <c r="S940" s="8"/>
    </row>
    <row r="941">
      <c r="L941" s="14"/>
      <c r="M941" s="14"/>
      <c r="O941" s="14"/>
      <c r="P941" s="14"/>
      <c r="Q941" s="14"/>
      <c r="S941" s="8"/>
    </row>
    <row r="942">
      <c r="L942" s="14"/>
      <c r="M942" s="14"/>
      <c r="O942" s="14"/>
      <c r="P942" s="14"/>
      <c r="Q942" s="14"/>
      <c r="S942" s="8"/>
    </row>
    <row r="943">
      <c r="L943" s="14"/>
      <c r="M943" s="14"/>
      <c r="O943" s="14"/>
      <c r="P943" s="14"/>
      <c r="Q943" s="14"/>
      <c r="S943" s="8"/>
    </row>
    <row r="944">
      <c r="L944" s="14"/>
      <c r="M944" s="14"/>
      <c r="O944" s="14"/>
      <c r="P944" s="14"/>
      <c r="Q944" s="14"/>
      <c r="S944" s="8"/>
    </row>
    <row r="945">
      <c r="L945" s="14"/>
      <c r="M945" s="14"/>
      <c r="O945" s="14"/>
      <c r="P945" s="14"/>
      <c r="Q945" s="14"/>
      <c r="S945" s="8"/>
    </row>
    <row r="946">
      <c r="L946" s="14"/>
      <c r="M946" s="14"/>
      <c r="O946" s="14"/>
      <c r="P946" s="14"/>
      <c r="Q946" s="14"/>
      <c r="S946" s="8"/>
    </row>
    <row r="947">
      <c r="L947" s="14"/>
      <c r="M947" s="14"/>
      <c r="O947" s="14"/>
      <c r="P947" s="14"/>
      <c r="Q947" s="14"/>
      <c r="S947" s="8"/>
    </row>
    <row r="948">
      <c r="L948" s="14"/>
      <c r="M948" s="14"/>
      <c r="O948" s="14"/>
      <c r="P948" s="14"/>
      <c r="Q948" s="14"/>
      <c r="S948" s="8"/>
    </row>
    <row r="949">
      <c r="L949" s="14"/>
      <c r="M949" s="14"/>
      <c r="O949" s="14"/>
      <c r="P949" s="14"/>
      <c r="Q949" s="14"/>
      <c r="S949" s="8"/>
    </row>
    <row r="950">
      <c r="L950" s="14"/>
      <c r="M950" s="14"/>
      <c r="O950" s="14"/>
      <c r="P950" s="14"/>
      <c r="Q950" s="14"/>
      <c r="S950" s="8"/>
    </row>
    <row r="951">
      <c r="L951" s="14"/>
      <c r="M951" s="14"/>
      <c r="O951" s="14"/>
      <c r="P951" s="14"/>
      <c r="Q951" s="14"/>
      <c r="S951" s="8"/>
    </row>
    <row r="952">
      <c r="L952" s="14"/>
      <c r="M952" s="14"/>
      <c r="O952" s="14"/>
      <c r="P952" s="14"/>
      <c r="Q952" s="14"/>
      <c r="S952" s="8"/>
    </row>
    <row r="953">
      <c r="L953" s="14"/>
      <c r="M953" s="14"/>
      <c r="O953" s="14"/>
      <c r="P953" s="14"/>
      <c r="Q953" s="14"/>
      <c r="S953" s="8"/>
    </row>
    <row r="954">
      <c r="L954" s="14"/>
      <c r="M954" s="14"/>
      <c r="O954" s="14"/>
      <c r="P954" s="14"/>
      <c r="Q954" s="14"/>
      <c r="S954" s="8"/>
    </row>
    <row r="955">
      <c r="L955" s="14"/>
      <c r="M955" s="14"/>
      <c r="O955" s="14"/>
      <c r="P955" s="14"/>
      <c r="Q955" s="14"/>
      <c r="S955" s="8"/>
    </row>
    <row r="956">
      <c r="L956" s="14"/>
      <c r="M956" s="14"/>
      <c r="O956" s="14"/>
      <c r="P956" s="14"/>
      <c r="Q956" s="14"/>
      <c r="S956" s="8"/>
    </row>
    <row r="957">
      <c r="L957" s="14"/>
      <c r="M957" s="14"/>
      <c r="O957" s="14"/>
      <c r="P957" s="14"/>
      <c r="Q957" s="14"/>
      <c r="S957" s="8"/>
    </row>
    <row r="958">
      <c r="L958" s="14"/>
      <c r="M958" s="14"/>
      <c r="O958" s="14"/>
      <c r="P958" s="14"/>
      <c r="Q958" s="14"/>
      <c r="S958" s="8"/>
    </row>
    <row r="959">
      <c r="L959" s="14"/>
      <c r="M959" s="14"/>
      <c r="O959" s="14"/>
      <c r="P959" s="14"/>
      <c r="Q959" s="14"/>
      <c r="S959" s="8"/>
    </row>
    <row r="960">
      <c r="L960" s="14"/>
      <c r="M960" s="14"/>
      <c r="O960" s="14"/>
      <c r="P960" s="14"/>
      <c r="Q960" s="14"/>
      <c r="S960" s="8"/>
    </row>
    <row r="961">
      <c r="L961" s="14"/>
      <c r="M961" s="14"/>
      <c r="O961" s="14"/>
      <c r="P961" s="14"/>
      <c r="Q961" s="14"/>
      <c r="S961" s="8"/>
    </row>
    <row r="962">
      <c r="L962" s="14"/>
      <c r="M962" s="14"/>
      <c r="O962" s="14"/>
      <c r="P962" s="14"/>
      <c r="Q962" s="14"/>
      <c r="S962" s="8"/>
    </row>
    <row r="963">
      <c r="L963" s="14"/>
      <c r="M963" s="14"/>
      <c r="O963" s="14"/>
      <c r="P963" s="14"/>
      <c r="Q963" s="14"/>
      <c r="S963" s="8"/>
    </row>
    <row r="964">
      <c r="L964" s="14"/>
      <c r="M964" s="14"/>
      <c r="O964" s="14"/>
      <c r="P964" s="14"/>
      <c r="Q964" s="14"/>
      <c r="S964" s="8"/>
    </row>
    <row r="965">
      <c r="L965" s="14"/>
      <c r="M965" s="14"/>
      <c r="O965" s="14"/>
      <c r="P965" s="14"/>
      <c r="Q965" s="14"/>
      <c r="S965" s="8"/>
    </row>
    <row r="966">
      <c r="L966" s="14"/>
      <c r="M966" s="14"/>
      <c r="O966" s="14"/>
      <c r="P966" s="14"/>
      <c r="Q966" s="14"/>
      <c r="S966" s="8"/>
    </row>
    <row r="967">
      <c r="L967" s="14"/>
      <c r="M967" s="14"/>
      <c r="O967" s="14"/>
      <c r="P967" s="14"/>
      <c r="Q967" s="14"/>
      <c r="S967" s="8"/>
    </row>
    <row r="968">
      <c r="L968" s="14"/>
      <c r="M968" s="14"/>
      <c r="O968" s="14"/>
      <c r="P968" s="14"/>
      <c r="Q968" s="14"/>
      <c r="S968" s="8"/>
    </row>
    <row r="969">
      <c r="L969" s="14"/>
      <c r="M969" s="14"/>
      <c r="O969" s="14"/>
      <c r="P969" s="14"/>
      <c r="Q969" s="14"/>
      <c r="S969" s="8"/>
    </row>
    <row r="970">
      <c r="L970" s="14"/>
      <c r="M970" s="14"/>
      <c r="O970" s="14"/>
      <c r="P970" s="14"/>
      <c r="Q970" s="14"/>
      <c r="S970" s="8"/>
    </row>
    <row r="971">
      <c r="L971" s="14"/>
      <c r="M971" s="14"/>
      <c r="O971" s="14"/>
      <c r="P971" s="14"/>
      <c r="Q971" s="14"/>
      <c r="S971" s="8"/>
    </row>
    <row r="972">
      <c r="L972" s="14"/>
      <c r="M972" s="14"/>
      <c r="O972" s="14"/>
      <c r="P972" s="14"/>
      <c r="Q972" s="14"/>
      <c r="S972" s="8"/>
    </row>
    <row r="973">
      <c r="L973" s="14"/>
      <c r="M973" s="14"/>
      <c r="O973" s="14"/>
      <c r="P973" s="14"/>
      <c r="Q973" s="14"/>
      <c r="S973" s="8"/>
    </row>
    <row r="974">
      <c r="L974" s="14"/>
      <c r="M974" s="14"/>
      <c r="O974" s="14"/>
      <c r="P974" s="14"/>
      <c r="Q974" s="14"/>
      <c r="S974" s="8"/>
    </row>
    <row r="975">
      <c r="L975" s="14"/>
      <c r="M975" s="14"/>
      <c r="O975" s="14"/>
      <c r="P975" s="14"/>
      <c r="Q975" s="14"/>
      <c r="S975" s="8"/>
    </row>
    <row r="976">
      <c r="L976" s="14"/>
      <c r="M976" s="14"/>
      <c r="O976" s="14"/>
      <c r="P976" s="14"/>
      <c r="Q976" s="14"/>
      <c r="S976" s="8"/>
    </row>
    <row r="977">
      <c r="L977" s="14"/>
      <c r="M977" s="14"/>
      <c r="O977" s="14"/>
      <c r="P977" s="14"/>
      <c r="Q977" s="14"/>
      <c r="S977" s="8"/>
    </row>
    <row r="978">
      <c r="L978" s="14"/>
      <c r="M978" s="14"/>
      <c r="O978" s="14"/>
      <c r="P978" s="14"/>
      <c r="Q978" s="14"/>
      <c r="S978" s="8"/>
    </row>
    <row r="979">
      <c r="L979" s="14"/>
      <c r="M979" s="14"/>
      <c r="O979" s="14"/>
      <c r="P979" s="14"/>
      <c r="Q979" s="14"/>
      <c r="S979" s="8"/>
    </row>
    <row r="980">
      <c r="L980" s="14"/>
      <c r="M980" s="14"/>
      <c r="O980" s="14"/>
      <c r="P980" s="14"/>
      <c r="Q980" s="14"/>
      <c r="S980" s="8"/>
    </row>
    <row r="981">
      <c r="L981" s="14"/>
      <c r="M981" s="14"/>
      <c r="O981" s="14"/>
      <c r="P981" s="14"/>
      <c r="Q981" s="14"/>
      <c r="S981" s="8"/>
    </row>
    <row r="982">
      <c r="L982" s="14"/>
      <c r="M982" s="14"/>
      <c r="O982" s="14"/>
      <c r="P982" s="14"/>
      <c r="Q982" s="14"/>
      <c r="S982" s="8"/>
    </row>
    <row r="983">
      <c r="L983" s="14"/>
      <c r="M983" s="14"/>
      <c r="O983" s="14"/>
      <c r="P983" s="14"/>
      <c r="Q983" s="14"/>
      <c r="S983" s="8"/>
    </row>
    <row r="984">
      <c r="L984" s="14"/>
      <c r="M984" s="14"/>
      <c r="O984" s="14"/>
      <c r="P984" s="14"/>
      <c r="Q984" s="14"/>
      <c r="S984" s="8"/>
    </row>
    <row r="985">
      <c r="L985" s="14"/>
      <c r="M985" s="14"/>
      <c r="O985" s="14"/>
      <c r="P985" s="14"/>
      <c r="Q985" s="14"/>
      <c r="S985" s="8"/>
    </row>
    <row r="986">
      <c r="L986" s="14"/>
      <c r="M986" s="14"/>
      <c r="O986" s="14"/>
      <c r="P986" s="14"/>
      <c r="Q986" s="14"/>
      <c r="S986" s="8"/>
    </row>
    <row r="987">
      <c r="L987" s="14"/>
      <c r="M987" s="14"/>
      <c r="O987" s="14"/>
      <c r="P987" s="14"/>
      <c r="Q987" s="14"/>
      <c r="S987" s="8"/>
    </row>
    <row r="988">
      <c r="L988" s="14"/>
      <c r="M988" s="14"/>
      <c r="O988" s="14"/>
      <c r="P988" s="14"/>
      <c r="Q988" s="14"/>
      <c r="S988" s="8"/>
    </row>
    <row r="989">
      <c r="L989" s="14"/>
      <c r="M989" s="14"/>
      <c r="O989" s="14"/>
      <c r="P989" s="14"/>
      <c r="Q989" s="14"/>
      <c r="S989" s="8"/>
    </row>
    <row r="990">
      <c r="L990" s="14"/>
      <c r="M990" s="14"/>
      <c r="O990" s="14"/>
      <c r="P990" s="14"/>
      <c r="Q990" s="14"/>
      <c r="S990" s="8"/>
    </row>
    <row r="991">
      <c r="L991" s="14"/>
      <c r="M991" s="14"/>
      <c r="O991" s="14"/>
      <c r="P991" s="14"/>
      <c r="Q991" s="14"/>
      <c r="S991" s="8"/>
    </row>
    <row r="992">
      <c r="L992" s="14"/>
      <c r="M992" s="14"/>
      <c r="O992" s="14"/>
      <c r="P992" s="14"/>
      <c r="Q992" s="14"/>
      <c r="S992" s="8"/>
    </row>
    <row r="993">
      <c r="L993" s="14"/>
      <c r="M993" s="14"/>
      <c r="O993" s="14"/>
      <c r="P993" s="14"/>
      <c r="Q993" s="14"/>
      <c r="S993" s="8"/>
    </row>
    <row r="994">
      <c r="L994" s="14"/>
      <c r="M994" s="14"/>
      <c r="O994" s="14"/>
      <c r="P994" s="14"/>
      <c r="Q994" s="14"/>
      <c r="S994" s="8"/>
    </row>
    <row r="995">
      <c r="L995" s="14"/>
      <c r="M995" s="14"/>
      <c r="O995" s="14"/>
      <c r="P995" s="14"/>
      <c r="Q995" s="14"/>
      <c r="S995" s="8"/>
    </row>
    <row r="996">
      <c r="L996" s="14"/>
      <c r="M996" s="14"/>
      <c r="O996" s="14"/>
      <c r="P996" s="14"/>
      <c r="Q996" s="14"/>
      <c r="S996" s="8"/>
    </row>
    <row r="997">
      <c r="L997" s="14"/>
      <c r="M997" s="14"/>
      <c r="O997" s="14"/>
      <c r="P997" s="14"/>
      <c r="Q997" s="14"/>
      <c r="S997" s="8"/>
    </row>
    <row r="998">
      <c r="L998" s="14"/>
      <c r="M998" s="14"/>
      <c r="O998" s="14"/>
      <c r="P998" s="14"/>
      <c r="Q998" s="14"/>
      <c r="S998" s="8"/>
    </row>
    <row r="999">
      <c r="L999" s="14"/>
      <c r="M999" s="14"/>
      <c r="O999" s="14"/>
      <c r="P999" s="14"/>
      <c r="Q999" s="14"/>
      <c r="S999" s="8"/>
    </row>
    <row r="1000">
      <c r="L1000" s="14"/>
      <c r="M1000" s="14"/>
      <c r="O1000" s="14"/>
      <c r="P1000" s="14"/>
      <c r="Q1000" s="14"/>
      <c r="S1000" s="8"/>
    </row>
    <row r="1001">
      <c r="L1001" s="14"/>
      <c r="M1001" s="14"/>
      <c r="O1001" s="14"/>
      <c r="P1001" s="14"/>
      <c r="Q1001" s="14"/>
      <c r="S1001" s="8"/>
    </row>
    <row r="1002">
      <c r="L1002" s="14"/>
      <c r="M1002" s="14"/>
      <c r="O1002" s="14"/>
      <c r="P1002" s="14"/>
      <c r="Q1002" s="14"/>
      <c r="S1002" s="8"/>
    </row>
    <row r="1003">
      <c r="L1003" s="14"/>
      <c r="M1003" s="14"/>
      <c r="O1003" s="14"/>
      <c r="P1003" s="14"/>
      <c r="Q1003" s="14"/>
      <c r="S1003" s="8"/>
    </row>
    <row r="1004">
      <c r="L1004" s="14"/>
      <c r="M1004" s="14"/>
      <c r="O1004" s="14"/>
      <c r="P1004" s="14"/>
      <c r="Q1004" s="14"/>
      <c r="S1004" s="8"/>
    </row>
    <row r="1005">
      <c r="L1005" s="14"/>
      <c r="M1005" s="14"/>
      <c r="O1005" s="14"/>
      <c r="P1005" s="14"/>
      <c r="Q1005" s="14"/>
      <c r="S1005" s="8"/>
    </row>
    <row r="1006">
      <c r="L1006" s="14"/>
      <c r="M1006" s="14"/>
      <c r="O1006" s="14"/>
      <c r="P1006" s="14"/>
      <c r="Q1006" s="14"/>
      <c r="S1006" s="8"/>
    </row>
    <row r="1007">
      <c r="L1007" s="14"/>
      <c r="M1007" s="14"/>
      <c r="O1007" s="14"/>
      <c r="P1007" s="14"/>
      <c r="Q1007" s="14"/>
      <c r="S1007" s="8"/>
    </row>
    <row r="1008">
      <c r="L1008" s="14"/>
      <c r="M1008" s="14"/>
      <c r="O1008" s="14"/>
      <c r="P1008" s="14"/>
      <c r="Q1008" s="14"/>
      <c r="S1008" s="8"/>
    </row>
    <row r="1009">
      <c r="L1009" s="14"/>
      <c r="M1009" s="14"/>
      <c r="O1009" s="14"/>
      <c r="P1009" s="14"/>
      <c r="Q1009" s="14"/>
      <c r="S1009" s="8"/>
    </row>
    <row r="1010">
      <c r="L1010" s="14"/>
      <c r="M1010" s="14"/>
      <c r="O1010" s="14"/>
      <c r="P1010" s="14"/>
      <c r="Q1010" s="14"/>
      <c r="S1010" s="8"/>
    </row>
    <row r="1011">
      <c r="L1011" s="14"/>
      <c r="M1011" s="14"/>
      <c r="O1011" s="14"/>
      <c r="P1011" s="14"/>
      <c r="Q1011" s="14"/>
      <c r="S1011" s="8"/>
    </row>
    <row r="1012">
      <c r="L1012" s="14"/>
      <c r="M1012" s="14"/>
      <c r="O1012" s="14"/>
      <c r="P1012" s="14"/>
      <c r="Q1012" s="14"/>
      <c r="S1012" s="8"/>
    </row>
    <row r="1013">
      <c r="L1013" s="14"/>
      <c r="M1013" s="14"/>
      <c r="O1013" s="14"/>
      <c r="P1013" s="14"/>
      <c r="Q1013" s="14"/>
      <c r="S1013" s="8"/>
    </row>
    <row r="1014">
      <c r="L1014" s="14"/>
      <c r="M1014" s="14"/>
      <c r="O1014" s="14"/>
      <c r="P1014" s="14"/>
      <c r="Q1014" s="14"/>
      <c r="S1014" s="8"/>
    </row>
    <row r="1015">
      <c r="L1015" s="14"/>
      <c r="M1015" s="14"/>
      <c r="O1015" s="14"/>
      <c r="P1015" s="14"/>
      <c r="Q1015" s="14"/>
      <c r="S1015" s="8"/>
    </row>
    <row r="1016">
      <c r="L1016" s="14"/>
      <c r="M1016" s="14"/>
      <c r="O1016" s="14"/>
      <c r="P1016" s="14"/>
      <c r="Q1016" s="14"/>
      <c r="S1016" s="8"/>
    </row>
    <row r="1017">
      <c r="L1017" s="14"/>
      <c r="M1017" s="14"/>
      <c r="O1017" s="14"/>
      <c r="P1017" s="14"/>
      <c r="Q1017" s="14"/>
      <c r="S1017" s="8"/>
    </row>
    <row r="1018">
      <c r="L1018" s="14"/>
      <c r="M1018" s="14"/>
      <c r="O1018" s="14"/>
      <c r="P1018" s="14"/>
      <c r="Q1018" s="14"/>
      <c r="S1018" s="8"/>
    </row>
    <row r="1019">
      <c r="L1019" s="14"/>
      <c r="M1019" s="14"/>
      <c r="O1019" s="14"/>
      <c r="P1019" s="14"/>
      <c r="Q1019" s="14"/>
      <c r="S1019" s="8"/>
    </row>
    <row r="1020">
      <c r="L1020" s="14"/>
      <c r="M1020" s="14"/>
      <c r="O1020" s="14"/>
      <c r="P1020" s="14"/>
      <c r="Q1020" s="14"/>
      <c r="S1020" s="8"/>
    </row>
    <row r="1021">
      <c r="L1021" s="14"/>
      <c r="M1021" s="14"/>
      <c r="O1021" s="14"/>
      <c r="P1021" s="14"/>
      <c r="Q1021" s="14"/>
      <c r="S102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5.88"/>
    <col customWidth="1" min="3" max="3" width="5.63"/>
    <col customWidth="1" min="6" max="6" width="15.63"/>
    <col customWidth="1" min="7" max="7" width="5.38"/>
  </cols>
  <sheetData>
    <row r="1">
      <c r="A1" s="1" t="s">
        <v>0</v>
      </c>
      <c r="B1" s="1" t="s">
        <v>1</v>
      </c>
      <c r="C1" s="15" t="s">
        <v>2</v>
      </c>
      <c r="D1" s="1" t="s">
        <v>109</v>
      </c>
      <c r="F1" s="10">
        <v>2023.0</v>
      </c>
      <c r="G1" s="1" t="s">
        <v>0</v>
      </c>
      <c r="H1" s="1" t="s">
        <v>2</v>
      </c>
      <c r="I1" s="1" t="s">
        <v>109</v>
      </c>
      <c r="J1" s="1"/>
    </row>
    <row r="2">
      <c r="A2" s="3">
        <v>1.0</v>
      </c>
      <c r="B2" s="3" t="s">
        <v>26</v>
      </c>
      <c r="C2" s="3">
        <v>170.0</v>
      </c>
      <c r="D2" s="3">
        <v>25.0</v>
      </c>
      <c r="F2" s="10" t="s">
        <v>48</v>
      </c>
      <c r="G2" s="3">
        <v>1.0</v>
      </c>
      <c r="H2" s="3">
        <v>177.0</v>
      </c>
      <c r="I2" s="3">
        <v>25.0</v>
      </c>
      <c r="J2" s="3"/>
    </row>
    <row r="3">
      <c r="A3" s="3" t="s">
        <v>110</v>
      </c>
      <c r="B3" s="3" t="s">
        <v>45</v>
      </c>
      <c r="C3" s="3">
        <v>167.0</v>
      </c>
      <c r="D3" s="3">
        <v>17.5</v>
      </c>
      <c r="F3" s="10" t="s">
        <v>78</v>
      </c>
      <c r="G3" s="3">
        <v>2.0</v>
      </c>
      <c r="H3" s="3">
        <v>173.0</v>
      </c>
      <c r="I3" s="3">
        <v>20.0</v>
      </c>
      <c r="J3" s="3"/>
    </row>
    <row r="4">
      <c r="A4" s="3" t="s">
        <v>110</v>
      </c>
      <c r="B4" s="3" t="s">
        <v>68</v>
      </c>
      <c r="C4" s="3">
        <v>167.0</v>
      </c>
      <c r="D4" s="3">
        <v>17.5</v>
      </c>
      <c r="F4" s="10" t="s">
        <v>58</v>
      </c>
      <c r="G4" s="3">
        <v>3.0</v>
      </c>
      <c r="H4" s="3">
        <v>171.0</v>
      </c>
      <c r="I4" s="3">
        <v>15.0</v>
      </c>
      <c r="J4" s="3"/>
    </row>
    <row r="5">
      <c r="A5" s="3">
        <v>4.0</v>
      </c>
      <c r="B5" s="3" t="s">
        <v>55</v>
      </c>
      <c r="C5" s="3">
        <v>164.5</v>
      </c>
      <c r="D5" s="3">
        <v>12.0</v>
      </c>
      <c r="F5" s="10" t="s">
        <v>93</v>
      </c>
      <c r="G5" s="3">
        <v>4.0</v>
      </c>
      <c r="H5" s="3">
        <v>167.0</v>
      </c>
      <c r="I5" s="3">
        <v>12.0</v>
      </c>
      <c r="J5" s="3"/>
    </row>
    <row r="6">
      <c r="A6" s="3" t="s">
        <v>27</v>
      </c>
      <c r="B6" s="3" t="s">
        <v>36</v>
      </c>
      <c r="C6" s="3">
        <v>162.0</v>
      </c>
      <c r="D6" s="3">
        <v>10.5</v>
      </c>
      <c r="F6" s="10" t="s">
        <v>100</v>
      </c>
      <c r="G6" s="3">
        <v>5.0</v>
      </c>
      <c r="H6" s="3">
        <v>164.0</v>
      </c>
      <c r="I6" s="3">
        <v>11.0</v>
      </c>
      <c r="J6" s="3"/>
    </row>
    <row r="7">
      <c r="A7" s="3" t="s">
        <v>27</v>
      </c>
      <c r="B7" s="3" t="s">
        <v>34</v>
      </c>
      <c r="C7" s="3">
        <v>162.0</v>
      </c>
      <c r="D7" s="3">
        <v>10.5</v>
      </c>
      <c r="F7" s="10" t="s">
        <v>67</v>
      </c>
      <c r="G7" s="3" t="s">
        <v>111</v>
      </c>
      <c r="H7" s="3">
        <v>161.0</v>
      </c>
      <c r="I7" s="3">
        <v>9.5</v>
      </c>
      <c r="J7" s="3"/>
    </row>
    <row r="8">
      <c r="A8" s="3">
        <v>7.0</v>
      </c>
      <c r="B8" s="3" t="s">
        <v>59</v>
      </c>
      <c r="C8" s="3">
        <v>161.0</v>
      </c>
      <c r="D8" s="3">
        <v>9.0</v>
      </c>
      <c r="F8" s="10" t="s">
        <v>112</v>
      </c>
      <c r="G8" s="3" t="s">
        <v>111</v>
      </c>
      <c r="H8" s="3">
        <v>161.0</v>
      </c>
      <c r="I8" s="3">
        <v>9.5</v>
      </c>
      <c r="J8" s="3"/>
    </row>
    <row r="9">
      <c r="A9" s="3">
        <v>8.0</v>
      </c>
      <c r="B9" s="3" t="s">
        <v>20</v>
      </c>
      <c r="C9" s="3">
        <v>160.0</v>
      </c>
      <c r="D9" s="3">
        <v>8.0</v>
      </c>
      <c r="F9" s="10" t="s">
        <v>43</v>
      </c>
      <c r="G9" s="3">
        <v>8.0</v>
      </c>
      <c r="H9" s="3">
        <v>160.0</v>
      </c>
      <c r="I9" s="3">
        <v>8.0</v>
      </c>
      <c r="J9" s="3"/>
    </row>
    <row r="10">
      <c r="A10" s="3" t="s">
        <v>33</v>
      </c>
      <c r="B10" s="3" t="s">
        <v>95</v>
      </c>
      <c r="C10" s="3">
        <v>159.0</v>
      </c>
      <c r="D10" s="3">
        <v>6.5</v>
      </c>
      <c r="F10" s="10" t="s">
        <v>35</v>
      </c>
      <c r="G10" s="3" t="s">
        <v>33</v>
      </c>
      <c r="H10" s="3">
        <v>159.0</v>
      </c>
      <c r="I10" s="3">
        <v>6.5</v>
      </c>
      <c r="J10" s="3"/>
    </row>
    <row r="11">
      <c r="A11" s="3" t="s">
        <v>33</v>
      </c>
      <c r="B11" s="3" t="s">
        <v>70</v>
      </c>
      <c r="C11" s="3">
        <v>159.0</v>
      </c>
      <c r="D11" s="3">
        <v>6.5</v>
      </c>
      <c r="F11" s="10" t="s">
        <v>113</v>
      </c>
      <c r="G11" s="3" t="s">
        <v>33</v>
      </c>
      <c r="H11" s="3">
        <v>159.0</v>
      </c>
      <c r="I11" s="3">
        <v>6.5</v>
      </c>
      <c r="J11" s="3"/>
    </row>
    <row r="12">
      <c r="A12" s="3" t="s">
        <v>114</v>
      </c>
      <c r="B12" s="3" t="s">
        <v>67</v>
      </c>
      <c r="C12" s="3">
        <v>158.0</v>
      </c>
      <c r="D12" s="3">
        <v>4.5</v>
      </c>
      <c r="F12" s="10" t="s">
        <v>24</v>
      </c>
      <c r="G12" s="3">
        <v>11.0</v>
      </c>
      <c r="H12" s="3">
        <v>158.0</v>
      </c>
      <c r="I12" s="3">
        <v>5.0</v>
      </c>
      <c r="J12" s="3"/>
    </row>
    <row r="13">
      <c r="A13" s="3" t="s">
        <v>114</v>
      </c>
      <c r="B13" s="3" t="s">
        <v>60</v>
      </c>
      <c r="C13" s="3">
        <v>158.0</v>
      </c>
      <c r="D13" s="3">
        <v>4.5</v>
      </c>
      <c r="F13" s="10" t="s">
        <v>115</v>
      </c>
      <c r="G13" s="3" t="s">
        <v>116</v>
      </c>
      <c r="H13" s="3">
        <v>157.0</v>
      </c>
      <c r="I13" s="3">
        <v>3.5</v>
      </c>
      <c r="J13" s="3"/>
    </row>
    <row r="14">
      <c r="A14" s="3" t="s">
        <v>117</v>
      </c>
      <c r="B14" s="3" t="s">
        <v>24</v>
      </c>
      <c r="C14" s="3">
        <v>157.0</v>
      </c>
      <c r="D14" s="3">
        <v>3.0</v>
      </c>
      <c r="F14" s="10" t="s">
        <v>118</v>
      </c>
      <c r="G14" s="3" t="s">
        <v>116</v>
      </c>
      <c r="H14" s="3">
        <v>157.0</v>
      </c>
      <c r="I14" s="3">
        <v>3.5</v>
      </c>
      <c r="J14" s="3"/>
    </row>
    <row r="15">
      <c r="A15" s="3" t="s">
        <v>117</v>
      </c>
      <c r="B15" s="3" t="s">
        <v>47</v>
      </c>
      <c r="C15" s="3">
        <v>157.0</v>
      </c>
      <c r="D15" s="3">
        <v>3.0</v>
      </c>
      <c r="F15" s="10" t="s">
        <v>26</v>
      </c>
      <c r="G15" s="3">
        <v>14.0</v>
      </c>
      <c r="H15" s="3">
        <v>156.0</v>
      </c>
      <c r="I15" s="3">
        <v>3.0</v>
      </c>
      <c r="J15" s="3"/>
    </row>
    <row r="16">
      <c r="A16" s="3">
        <v>15.0</v>
      </c>
      <c r="B16" s="3" t="s">
        <v>48</v>
      </c>
      <c r="C16" s="3">
        <v>156.0</v>
      </c>
      <c r="D16" s="3">
        <v>3.0</v>
      </c>
      <c r="F16" s="10" t="s">
        <v>62</v>
      </c>
      <c r="G16" s="3">
        <v>15.0</v>
      </c>
      <c r="H16" s="3">
        <v>155.0</v>
      </c>
      <c r="I16" s="3">
        <v>3.0</v>
      </c>
      <c r="J16" s="3"/>
    </row>
    <row r="17">
      <c r="A17" s="3" t="s">
        <v>41</v>
      </c>
      <c r="B17" s="3" t="s">
        <v>32</v>
      </c>
      <c r="C17" s="3">
        <v>154.0</v>
      </c>
      <c r="D17" s="3">
        <v>3.0</v>
      </c>
      <c r="F17" s="10" t="s">
        <v>71</v>
      </c>
      <c r="G17" s="3" t="s">
        <v>41</v>
      </c>
      <c r="H17" s="3">
        <v>154.0</v>
      </c>
      <c r="I17" s="3">
        <v>3.0</v>
      </c>
      <c r="J17" s="3"/>
    </row>
    <row r="18">
      <c r="A18" s="3" t="s">
        <v>41</v>
      </c>
      <c r="B18" s="3" t="s">
        <v>52</v>
      </c>
      <c r="C18" s="3">
        <v>154.0</v>
      </c>
      <c r="D18" s="3">
        <v>3.0</v>
      </c>
      <c r="F18" s="10" t="s">
        <v>28</v>
      </c>
      <c r="G18" s="3" t="s">
        <v>41</v>
      </c>
      <c r="H18" s="3">
        <v>154.0</v>
      </c>
      <c r="I18" s="3">
        <v>3.0</v>
      </c>
      <c r="J18" s="3"/>
    </row>
    <row r="19">
      <c r="A19" s="3">
        <v>18.0</v>
      </c>
      <c r="B19" s="3" t="s">
        <v>86</v>
      </c>
      <c r="C19" s="3">
        <v>153.0</v>
      </c>
      <c r="D19" s="3">
        <v>3.0</v>
      </c>
      <c r="F19" s="10" t="s">
        <v>36</v>
      </c>
      <c r="G19" s="3">
        <v>18.0</v>
      </c>
      <c r="H19" s="3">
        <v>153.0</v>
      </c>
      <c r="I19" s="3">
        <v>3.0</v>
      </c>
      <c r="J19" s="3"/>
    </row>
    <row r="20">
      <c r="A20" s="3">
        <v>19.0</v>
      </c>
      <c r="B20" s="3" t="s">
        <v>71</v>
      </c>
      <c r="C20" s="3">
        <v>152.0</v>
      </c>
      <c r="D20" s="3">
        <v>2.0</v>
      </c>
      <c r="F20" s="10" t="s">
        <v>37</v>
      </c>
      <c r="G20" s="3">
        <v>19.0</v>
      </c>
      <c r="H20" s="3">
        <v>152.0</v>
      </c>
      <c r="I20" s="3">
        <v>2.0</v>
      </c>
      <c r="J20" s="3"/>
    </row>
    <row r="21">
      <c r="A21" s="3">
        <v>20.0</v>
      </c>
      <c r="B21" s="3" t="s">
        <v>69</v>
      </c>
      <c r="C21" s="3">
        <v>150.0</v>
      </c>
      <c r="D21" s="3">
        <v>2.0</v>
      </c>
      <c r="F21" s="10" t="s">
        <v>55</v>
      </c>
      <c r="G21" s="3">
        <v>20.0</v>
      </c>
      <c r="H21" s="3">
        <v>150.0</v>
      </c>
      <c r="I21" s="3">
        <v>2.0</v>
      </c>
      <c r="J21" s="3"/>
    </row>
    <row r="22">
      <c r="A22" s="3">
        <v>21.0</v>
      </c>
      <c r="B22" s="3" t="s">
        <v>42</v>
      </c>
      <c r="C22" s="3">
        <v>149.0</v>
      </c>
      <c r="D22" s="3">
        <v>2.0</v>
      </c>
      <c r="F22" s="10" t="s">
        <v>60</v>
      </c>
      <c r="G22" s="3" t="s">
        <v>119</v>
      </c>
      <c r="H22" s="3">
        <v>149.0</v>
      </c>
      <c r="I22" s="3">
        <v>2.0</v>
      </c>
      <c r="J22" s="3"/>
    </row>
    <row r="23">
      <c r="A23" s="3">
        <v>22.0</v>
      </c>
      <c r="B23" s="3" t="s">
        <v>40</v>
      </c>
      <c r="C23" s="3">
        <v>147.0</v>
      </c>
      <c r="D23" s="3">
        <v>2.0</v>
      </c>
      <c r="F23" s="10" t="s">
        <v>94</v>
      </c>
      <c r="G23" s="3" t="s">
        <v>119</v>
      </c>
      <c r="H23" s="3">
        <v>149.0</v>
      </c>
      <c r="I23" s="3">
        <v>2.0</v>
      </c>
      <c r="J23" s="3"/>
    </row>
    <row r="24">
      <c r="A24" s="3">
        <v>23.0</v>
      </c>
      <c r="B24" s="3" t="s">
        <v>43</v>
      </c>
      <c r="C24" s="3">
        <v>146.0</v>
      </c>
      <c r="D24" s="3">
        <v>2.0</v>
      </c>
      <c r="F24" s="10" t="s">
        <v>31</v>
      </c>
      <c r="G24" s="3" t="s">
        <v>50</v>
      </c>
      <c r="H24" s="3">
        <v>148.0</v>
      </c>
      <c r="I24" s="3">
        <v>2.0</v>
      </c>
      <c r="J24" s="3"/>
    </row>
    <row r="25">
      <c r="A25" s="3">
        <v>24.0</v>
      </c>
      <c r="B25" s="3" t="s">
        <v>58</v>
      </c>
      <c r="C25" s="3">
        <v>144.5</v>
      </c>
      <c r="D25" s="3">
        <v>2.0</v>
      </c>
      <c r="F25" s="10" t="s">
        <v>42</v>
      </c>
      <c r="G25" s="3" t="s">
        <v>50</v>
      </c>
      <c r="H25" s="3">
        <v>148.0</v>
      </c>
      <c r="I25" s="3">
        <v>2.0</v>
      </c>
      <c r="J25" s="3"/>
    </row>
    <row r="26">
      <c r="A26" s="3">
        <v>25.0</v>
      </c>
      <c r="B26" s="3" t="s">
        <v>73</v>
      </c>
      <c r="C26" s="3">
        <v>142.0</v>
      </c>
      <c r="D26" s="3">
        <v>1.0</v>
      </c>
      <c r="F26" s="10" t="s">
        <v>45</v>
      </c>
      <c r="G26" s="3">
        <v>25.0</v>
      </c>
      <c r="H26" s="3">
        <v>147.0</v>
      </c>
      <c r="I26" s="3">
        <v>1.0</v>
      </c>
      <c r="J26" s="3"/>
    </row>
    <row r="27">
      <c r="A27" s="3">
        <v>26.0</v>
      </c>
      <c r="B27" s="3" t="s">
        <v>38</v>
      </c>
      <c r="C27" s="3">
        <v>141.0</v>
      </c>
      <c r="D27" s="3">
        <v>1.0</v>
      </c>
      <c r="F27" s="10" t="s">
        <v>120</v>
      </c>
      <c r="G27" s="3">
        <v>26.0</v>
      </c>
      <c r="H27" s="3">
        <v>146.0</v>
      </c>
      <c r="I27" s="3">
        <v>1.0</v>
      </c>
      <c r="J27" s="3"/>
    </row>
    <row r="28">
      <c r="A28" s="3">
        <v>27.0</v>
      </c>
      <c r="B28" s="3" t="s">
        <v>37</v>
      </c>
      <c r="C28" s="3">
        <v>140.5</v>
      </c>
      <c r="D28" s="3">
        <v>1.0</v>
      </c>
      <c r="F28" s="10" t="s">
        <v>84</v>
      </c>
      <c r="G28" s="3">
        <v>27.0</v>
      </c>
      <c r="H28" s="3">
        <v>144.0</v>
      </c>
      <c r="I28" s="3">
        <v>1.0</v>
      </c>
      <c r="J28" s="3"/>
    </row>
    <row r="29">
      <c r="A29" s="3">
        <v>28.0</v>
      </c>
      <c r="B29" s="3" t="s">
        <v>39</v>
      </c>
      <c r="C29" s="3">
        <v>139.0</v>
      </c>
      <c r="D29" s="3">
        <v>1.0</v>
      </c>
      <c r="F29" s="10" t="s">
        <v>69</v>
      </c>
      <c r="G29" s="3">
        <v>28.0</v>
      </c>
      <c r="H29" s="3">
        <v>143.0</v>
      </c>
      <c r="I29" s="3">
        <v>1.0</v>
      </c>
      <c r="J29" s="3"/>
    </row>
    <row r="30">
      <c r="A30" s="3">
        <v>29.0</v>
      </c>
      <c r="B30" s="3" t="s">
        <v>93</v>
      </c>
      <c r="C30" s="3">
        <v>138.5</v>
      </c>
      <c r="D30" s="3">
        <v>1.0</v>
      </c>
      <c r="F30" s="10" t="s">
        <v>32</v>
      </c>
      <c r="G30" s="3">
        <v>29.0</v>
      </c>
      <c r="H30" s="3">
        <v>141.0</v>
      </c>
      <c r="I30" s="3">
        <v>1.0</v>
      </c>
      <c r="J30" s="3"/>
    </row>
    <row r="31">
      <c r="A31" s="3">
        <v>30.0</v>
      </c>
      <c r="B31" s="3" t="s">
        <v>28</v>
      </c>
      <c r="C31" s="3">
        <v>137.0</v>
      </c>
      <c r="D31" s="3">
        <v>1.0</v>
      </c>
      <c r="F31" s="10" t="s">
        <v>30</v>
      </c>
      <c r="G31" s="3" t="s">
        <v>121</v>
      </c>
      <c r="H31" s="3">
        <v>137.0</v>
      </c>
      <c r="I31" s="3">
        <v>1.0</v>
      </c>
      <c r="J31" s="3"/>
    </row>
    <row r="32">
      <c r="A32" s="3" t="s">
        <v>122</v>
      </c>
      <c r="B32" s="3" t="s">
        <v>94</v>
      </c>
      <c r="C32" s="3">
        <v>136.0</v>
      </c>
      <c r="D32" s="3">
        <v>0.0</v>
      </c>
      <c r="F32" s="10" t="s">
        <v>34</v>
      </c>
      <c r="G32" s="3" t="s">
        <v>121</v>
      </c>
      <c r="H32" s="3">
        <v>137.0</v>
      </c>
      <c r="I32" s="3">
        <v>1.0</v>
      </c>
      <c r="J32" s="3"/>
    </row>
    <row r="33">
      <c r="A33" s="3" t="s">
        <v>122</v>
      </c>
      <c r="B33" s="3" t="s">
        <v>22</v>
      </c>
      <c r="C33" s="3">
        <v>136.0</v>
      </c>
      <c r="D33" s="3">
        <v>0.0</v>
      </c>
      <c r="F33" s="10" t="s">
        <v>39</v>
      </c>
      <c r="G33" s="3" t="s">
        <v>61</v>
      </c>
      <c r="H33" s="3">
        <v>136.0</v>
      </c>
      <c r="I33" s="3">
        <v>0.0</v>
      </c>
      <c r="J33" s="3"/>
    </row>
    <row r="34">
      <c r="A34" s="3">
        <v>33.0</v>
      </c>
      <c r="B34" s="3" t="s">
        <v>53</v>
      </c>
      <c r="C34" s="3">
        <v>135.0</v>
      </c>
      <c r="D34" s="3">
        <v>0.0</v>
      </c>
      <c r="F34" s="10" t="s">
        <v>123</v>
      </c>
      <c r="G34" s="3" t="s">
        <v>61</v>
      </c>
      <c r="H34" s="3">
        <v>136.0</v>
      </c>
      <c r="I34" s="3">
        <v>0.0</v>
      </c>
      <c r="J34" s="3"/>
    </row>
    <row r="35">
      <c r="A35" s="3">
        <v>34.0</v>
      </c>
      <c r="B35" s="3" t="s">
        <v>51</v>
      </c>
      <c r="C35" s="3">
        <v>132.0</v>
      </c>
      <c r="D35" s="3">
        <v>0.0</v>
      </c>
      <c r="F35" s="10" t="s">
        <v>53</v>
      </c>
      <c r="G35" s="3" t="s">
        <v>61</v>
      </c>
      <c r="H35" s="3">
        <v>136.0</v>
      </c>
      <c r="I35" s="3">
        <v>0.0</v>
      </c>
      <c r="J35" s="3"/>
    </row>
    <row r="36">
      <c r="A36" s="3" t="s">
        <v>124</v>
      </c>
      <c r="B36" s="3" t="s">
        <v>108</v>
      </c>
      <c r="C36" s="3">
        <v>128.0</v>
      </c>
      <c r="D36" s="3">
        <v>-2.5</v>
      </c>
      <c r="F36" s="10" t="s">
        <v>20</v>
      </c>
      <c r="G36" s="3">
        <v>35.0</v>
      </c>
      <c r="H36" s="3">
        <v>134.0</v>
      </c>
      <c r="I36" s="3">
        <v>0.0</v>
      </c>
      <c r="J36" s="3"/>
    </row>
    <row r="37">
      <c r="A37" s="3" t="s">
        <v>124</v>
      </c>
      <c r="B37" s="3" t="s">
        <v>65</v>
      </c>
      <c r="C37" s="3">
        <v>128.0</v>
      </c>
      <c r="D37" s="3">
        <v>-2.5</v>
      </c>
      <c r="F37" s="10" t="s">
        <v>65</v>
      </c>
      <c r="G37" s="3">
        <v>36.0</v>
      </c>
      <c r="H37" s="3">
        <v>121.0</v>
      </c>
      <c r="I37" s="3">
        <v>-5.0</v>
      </c>
      <c r="J37" s="3"/>
    </row>
    <row r="38">
      <c r="A38" s="8"/>
      <c r="B38" s="8"/>
      <c r="C38" s="8"/>
      <c r="D38" s="8"/>
      <c r="G38" s="8"/>
      <c r="H38" s="8"/>
    </row>
    <row r="39">
      <c r="A39" s="8"/>
      <c r="B39" s="8"/>
      <c r="C39" s="8"/>
      <c r="G39" s="8"/>
      <c r="H39" s="8"/>
    </row>
    <row r="40">
      <c r="A40" s="8"/>
      <c r="B40" s="8"/>
      <c r="C40" s="8"/>
      <c r="G40" s="8"/>
      <c r="H40" s="8"/>
    </row>
    <row r="41">
      <c r="H41" s="8"/>
    </row>
    <row r="42">
      <c r="H42" s="8"/>
    </row>
    <row r="43">
      <c r="H43" s="8"/>
    </row>
    <row r="44">
      <c r="H44" s="8"/>
    </row>
    <row r="45">
      <c r="H45" s="8"/>
    </row>
    <row r="46">
      <c r="H46" s="8"/>
    </row>
    <row r="47">
      <c r="H47" s="8"/>
    </row>
    <row r="48">
      <c r="H48" s="8"/>
    </row>
    <row r="49">
      <c r="H49" s="8"/>
    </row>
    <row r="50">
      <c r="H50" s="8"/>
    </row>
    <row r="51">
      <c r="H51" s="8"/>
    </row>
    <row r="52">
      <c r="H52" s="8"/>
    </row>
    <row r="53">
      <c r="H53" s="8"/>
    </row>
    <row r="54">
      <c r="H54" s="8"/>
    </row>
    <row r="55">
      <c r="H55" s="8"/>
    </row>
    <row r="56">
      <c r="H56" s="8"/>
    </row>
    <row r="57">
      <c r="H57" s="8"/>
    </row>
    <row r="58">
      <c r="H58" s="8"/>
    </row>
    <row r="59">
      <c r="H59" s="8"/>
    </row>
    <row r="60">
      <c r="H60" s="8"/>
    </row>
    <row r="61">
      <c r="H61" s="8"/>
    </row>
    <row r="62">
      <c r="H62" s="8"/>
    </row>
    <row r="63">
      <c r="H63" s="8"/>
    </row>
    <row r="64">
      <c r="H64" s="8"/>
    </row>
    <row r="65">
      <c r="H65" s="8"/>
    </row>
    <row r="66">
      <c r="H66" s="8"/>
    </row>
    <row r="67">
      <c r="H67" s="8"/>
    </row>
    <row r="68">
      <c r="H68" s="8"/>
    </row>
    <row r="69">
      <c r="H69" s="8"/>
    </row>
    <row r="70">
      <c r="H70" s="8"/>
    </row>
    <row r="71">
      <c r="H71" s="8"/>
    </row>
    <row r="72">
      <c r="H72" s="8"/>
    </row>
    <row r="73">
      <c r="H73" s="8"/>
    </row>
    <row r="74">
      <c r="H74" s="8"/>
    </row>
    <row r="75">
      <c r="H75" s="8"/>
    </row>
    <row r="76">
      <c r="H76" s="8"/>
    </row>
    <row r="77">
      <c r="H77" s="8"/>
    </row>
    <row r="78">
      <c r="H78" s="8"/>
    </row>
    <row r="79">
      <c r="H79" s="8"/>
    </row>
    <row r="80">
      <c r="H80" s="8"/>
    </row>
    <row r="81">
      <c r="H81" s="8"/>
    </row>
    <row r="82">
      <c r="H82" s="8"/>
    </row>
    <row r="83">
      <c r="H83" s="8"/>
    </row>
    <row r="84">
      <c r="H84" s="8"/>
    </row>
    <row r="85">
      <c r="H85" s="8"/>
    </row>
    <row r="86">
      <c r="H86" s="8"/>
    </row>
    <row r="87">
      <c r="H87" s="8"/>
    </row>
    <row r="88">
      <c r="H88" s="8"/>
    </row>
    <row r="89">
      <c r="H89" s="8"/>
    </row>
    <row r="90">
      <c r="H90" s="8"/>
    </row>
    <row r="91">
      <c r="H91" s="8"/>
    </row>
    <row r="92">
      <c r="H92" s="8"/>
    </row>
    <row r="93">
      <c r="H93" s="8"/>
    </row>
    <row r="94">
      <c r="H94" s="8"/>
    </row>
    <row r="95">
      <c r="H95" s="8"/>
    </row>
    <row r="96">
      <c r="H96" s="8"/>
    </row>
    <row r="97">
      <c r="H97" s="8"/>
    </row>
    <row r="98">
      <c r="H98" s="8"/>
    </row>
    <row r="99">
      <c r="H99" s="8"/>
    </row>
    <row r="100">
      <c r="H100" s="8"/>
    </row>
    <row r="101">
      <c r="H101" s="8"/>
    </row>
    <row r="102">
      <c r="H102" s="8"/>
    </row>
    <row r="103">
      <c r="H103" s="8"/>
    </row>
    <row r="104">
      <c r="H104" s="8"/>
    </row>
    <row r="105">
      <c r="H105" s="8"/>
    </row>
    <row r="106">
      <c r="H106" s="8"/>
    </row>
    <row r="107">
      <c r="H107" s="8"/>
    </row>
    <row r="108">
      <c r="H108" s="8"/>
    </row>
    <row r="109">
      <c r="H109" s="8"/>
    </row>
    <row r="110">
      <c r="H110" s="8"/>
    </row>
    <row r="111">
      <c r="H111" s="8"/>
    </row>
    <row r="112">
      <c r="H112" s="8"/>
    </row>
    <row r="113">
      <c r="H113" s="8"/>
    </row>
    <row r="114">
      <c r="H114" s="8"/>
    </row>
    <row r="115">
      <c r="H115" s="8"/>
    </row>
    <row r="116">
      <c r="H116" s="8"/>
    </row>
    <row r="117">
      <c r="H117" s="8"/>
    </row>
    <row r="118">
      <c r="H118" s="8"/>
    </row>
    <row r="119">
      <c r="H119" s="8"/>
    </row>
    <row r="120">
      <c r="H120" s="8"/>
    </row>
    <row r="121">
      <c r="H121" s="8"/>
    </row>
    <row r="122">
      <c r="H122" s="8"/>
    </row>
    <row r="123">
      <c r="H123" s="8"/>
    </row>
    <row r="124">
      <c r="H124" s="8"/>
    </row>
    <row r="125">
      <c r="H125" s="8"/>
    </row>
    <row r="126">
      <c r="H126" s="8"/>
    </row>
    <row r="127">
      <c r="H127" s="8"/>
    </row>
    <row r="128">
      <c r="H128" s="8"/>
    </row>
    <row r="129">
      <c r="H129" s="8"/>
    </row>
    <row r="130">
      <c r="H130" s="8"/>
    </row>
    <row r="131">
      <c r="H131" s="8"/>
    </row>
    <row r="132">
      <c r="H132" s="8"/>
    </row>
    <row r="133">
      <c r="H133" s="8"/>
    </row>
    <row r="134">
      <c r="H134" s="8"/>
    </row>
    <row r="135">
      <c r="H135" s="8"/>
    </row>
    <row r="136">
      <c r="H136" s="8"/>
    </row>
    <row r="137">
      <c r="H137" s="8"/>
    </row>
    <row r="138">
      <c r="H138" s="8"/>
    </row>
    <row r="139">
      <c r="H139" s="8"/>
    </row>
    <row r="140">
      <c r="H140" s="8"/>
    </row>
    <row r="141">
      <c r="H141" s="8"/>
    </row>
    <row r="142">
      <c r="H142" s="8"/>
    </row>
    <row r="143">
      <c r="H143" s="8"/>
    </row>
    <row r="144">
      <c r="H144" s="8"/>
    </row>
    <row r="145">
      <c r="H145" s="8"/>
    </row>
    <row r="146">
      <c r="H146" s="8"/>
    </row>
    <row r="147">
      <c r="H147" s="8"/>
    </row>
    <row r="148">
      <c r="H148" s="8"/>
    </row>
    <row r="149">
      <c r="H149" s="8"/>
    </row>
    <row r="150">
      <c r="H150" s="8"/>
    </row>
    <row r="151">
      <c r="H151" s="8"/>
    </row>
    <row r="152">
      <c r="H152" s="8"/>
    </row>
    <row r="153">
      <c r="H153" s="8"/>
    </row>
    <row r="154">
      <c r="H154" s="8"/>
    </row>
    <row r="155">
      <c r="H155" s="8"/>
    </row>
    <row r="156">
      <c r="H156" s="8"/>
    </row>
    <row r="157">
      <c r="H157" s="8"/>
    </row>
    <row r="158">
      <c r="H158" s="8"/>
    </row>
    <row r="159">
      <c r="H159" s="8"/>
    </row>
    <row r="160">
      <c r="H160" s="8"/>
    </row>
    <row r="161">
      <c r="H161" s="8"/>
    </row>
    <row r="162">
      <c r="H162" s="8"/>
    </row>
    <row r="163">
      <c r="H163" s="8"/>
    </row>
    <row r="164">
      <c r="H164" s="8"/>
    </row>
    <row r="165">
      <c r="H165" s="8"/>
    </row>
    <row r="166">
      <c r="H166" s="8"/>
    </row>
    <row r="167">
      <c r="H167" s="8"/>
    </row>
    <row r="168">
      <c r="H168" s="8"/>
    </row>
    <row r="169">
      <c r="H169" s="8"/>
    </row>
    <row r="170">
      <c r="H170" s="8"/>
    </row>
    <row r="171">
      <c r="H171" s="8"/>
    </row>
    <row r="172">
      <c r="H172" s="8"/>
    </row>
    <row r="173">
      <c r="H173" s="8"/>
    </row>
    <row r="174">
      <c r="H174" s="8"/>
    </row>
    <row r="175">
      <c r="H175" s="8"/>
    </row>
    <row r="176">
      <c r="H176" s="8"/>
    </row>
    <row r="177">
      <c r="H177" s="8"/>
    </row>
    <row r="178">
      <c r="H178" s="8"/>
    </row>
    <row r="179">
      <c r="H179" s="8"/>
    </row>
    <row r="180">
      <c r="H180" s="8"/>
    </row>
    <row r="181">
      <c r="H181" s="8"/>
    </row>
    <row r="182">
      <c r="H182" s="8"/>
    </row>
    <row r="183">
      <c r="H183" s="8"/>
    </row>
    <row r="184">
      <c r="H184" s="8"/>
    </row>
    <row r="185">
      <c r="H185" s="8"/>
    </row>
    <row r="186">
      <c r="H186" s="8"/>
    </row>
    <row r="187">
      <c r="H187" s="8"/>
    </row>
    <row r="188">
      <c r="H188" s="8"/>
    </row>
    <row r="189">
      <c r="H189" s="8"/>
    </row>
    <row r="190">
      <c r="H190" s="8"/>
    </row>
    <row r="191">
      <c r="H191" s="8"/>
    </row>
    <row r="192">
      <c r="H192" s="8"/>
    </row>
    <row r="193">
      <c r="H193" s="8"/>
    </row>
    <row r="194">
      <c r="H194" s="8"/>
    </row>
    <row r="195">
      <c r="H195" s="8"/>
    </row>
    <row r="196">
      <c r="H196" s="8"/>
    </row>
    <row r="197">
      <c r="H197" s="8"/>
    </row>
    <row r="198">
      <c r="H198" s="8"/>
    </row>
    <row r="199">
      <c r="H199" s="8"/>
    </row>
    <row r="200">
      <c r="H200" s="8"/>
    </row>
    <row r="201">
      <c r="H201" s="8"/>
    </row>
    <row r="202">
      <c r="H202" s="8"/>
    </row>
    <row r="203">
      <c r="H203" s="8"/>
    </row>
    <row r="204">
      <c r="H204" s="8"/>
    </row>
    <row r="205">
      <c r="H205" s="8"/>
    </row>
    <row r="206">
      <c r="H206" s="8"/>
    </row>
    <row r="207">
      <c r="H207" s="8"/>
    </row>
    <row r="208">
      <c r="H208" s="8"/>
    </row>
    <row r="209">
      <c r="H209" s="8"/>
    </row>
    <row r="210">
      <c r="H210" s="8"/>
    </row>
    <row r="211">
      <c r="H211" s="8"/>
    </row>
    <row r="212">
      <c r="H212" s="8"/>
    </row>
    <row r="213">
      <c r="H213" s="8"/>
    </row>
    <row r="214">
      <c r="H214" s="8"/>
    </row>
    <row r="215">
      <c r="H215" s="8"/>
    </row>
    <row r="216">
      <c r="H216" s="8"/>
    </row>
    <row r="217">
      <c r="H217" s="8"/>
    </row>
    <row r="218">
      <c r="H218" s="8"/>
    </row>
    <row r="219">
      <c r="H219" s="8"/>
    </row>
    <row r="220">
      <c r="H220" s="8"/>
    </row>
    <row r="221">
      <c r="H221" s="8"/>
    </row>
    <row r="222">
      <c r="H222" s="8"/>
    </row>
    <row r="223">
      <c r="H223" s="8"/>
    </row>
    <row r="224">
      <c r="H224" s="8"/>
    </row>
    <row r="225">
      <c r="H225" s="8"/>
    </row>
    <row r="226">
      <c r="H226" s="8"/>
    </row>
    <row r="227">
      <c r="H227" s="8"/>
    </row>
    <row r="228">
      <c r="H228" s="8"/>
    </row>
    <row r="229">
      <c r="H229" s="8"/>
    </row>
    <row r="230">
      <c r="H230" s="8"/>
    </row>
    <row r="231">
      <c r="H231" s="8"/>
    </row>
    <row r="232">
      <c r="H232" s="8"/>
    </row>
    <row r="233">
      <c r="H233" s="8"/>
    </row>
    <row r="234">
      <c r="H234" s="8"/>
    </row>
    <row r="235">
      <c r="H235" s="8"/>
    </row>
    <row r="236">
      <c r="H236" s="8"/>
    </row>
    <row r="237">
      <c r="H237" s="8"/>
    </row>
    <row r="238">
      <c r="H238" s="8"/>
    </row>
    <row r="239">
      <c r="H239" s="8"/>
    </row>
    <row r="240">
      <c r="H240" s="8"/>
    </row>
    <row r="241">
      <c r="H241" s="8"/>
    </row>
    <row r="242">
      <c r="H242" s="8"/>
    </row>
    <row r="243">
      <c r="H243" s="8"/>
    </row>
    <row r="244">
      <c r="H244" s="8"/>
    </row>
    <row r="245">
      <c r="H245" s="8"/>
    </row>
    <row r="246">
      <c r="H246" s="8"/>
    </row>
    <row r="247">
      <c r="H247" s="8"/>
    </row>
    <row r="248">
      <c r="H248" s="8"/>
    </row>
    <row r="249">
      <c r="H249" s="8"/>
    </row>
    <row r="250">
      <c r="H250" s="8"/>
    </row>
    <row r="251">
      <c r="H251" s="8"/>
    </row>
    <row r="252">
      <c r="H252" s="8"/>
    </row>
    <row r="253">
      <c r="H253" s="8"/>
    </row>
    <row r="254">
      <c r="H254" s="8"/>
    </row>
    <row r="255">
      <c r="H255" s="8"/>
    </row>
    <row r="256">
      <c r="H256" s="8"/>
    </row>
    <row r="257">
      <c r="H257" s="8"/>
    </row>
    <row r="258">
      <c r="H258" s="8"/>
    </row>
    <row r="259">
      <c r="H259" s="8"/>
    </row>
    <row r="260">
      <c r="H260" s="8"/>
    </row>
    <row r="261">
      <c r="H261" s="8"/>
    </row>
    <row r="262">
      <c r="H262" s="8"/>
    </row>
    <row r="263">
      <c r="H263" s="8"/>
    </row>
    <row r="264">
      <c r="H264" s="8"/>
    </row>
    <row r="265">
      <c r="H265" s="8"/>
    </row>
    <row r="266">
      <c r="H266" s="8"/>
    </row>
    <row r="267">
      <c r="H267" s="8"/>
    </row>
    <row r="268">
      <c r="H268" s="8"/>
    </row>
    <row r="269">
      <c r="H269" s="8"/>
    </row>
    <row r="270">
      <c r="H270" s="8"/>
    </row>
    <row r="271">
      <c r="H271" s="8"/>
    </row>
    <row r="272">
      <c r="H272" s="8"/>
    </row>
    <row r="273">
      <c r="H273" s="8"/>
    </row>
    <row r="274">
      <c r="H274" s="8"/>
    </row>
    <row r="275">
      <c r="H275" s="8"/>
    </row>
    <row r="276">
      <c r="H276" s="8"/>
    </row>
    <row r="277">
      <c r="H277" s="8"/>
    </row>
    <row r="278">
      <c r="H278" s="8"/>
    </row>
    <row r="279">
      <c r="H279" s="8"/>
    </row>
    <row r="280">
      <c r="H280" s="8"/>
    </row>
    <row r="281">
      <c r="H281" s="8"/>
    </row>
    <row r="282">
      <c r="H282" s="8"/>
    </row>
    <row r="283">
      <c r="H283" s="8"/>
    </row>
    <row r="284">
      <c r="H284" s="8"/>
    </row>
    <row r="285">
      <c r="H285" s="8"/>
    </row>
    <row r="286">
      <c r="H286" s="8"/>
    </row>
    <row r="287">
      <c r="H287" s="8"/>
    </row>
    <row r="288">
      <c r="H288" s="8"/>
    </row>
    <row r="289">
      <c r="H289" s="8"/>
    </row>
    <row r="290">
      <c r="H290" s="8"/>
    </row>
    <row r="291">
      <c r="H291" s="8"/>
    </row>
    <row r="292">
      <c r="H292" s="8"/>
    </row>
    <row r="293">
      <c r="H293" s="8"/>
    </row>
    <row r="294">
      <c r="H294" s="8"/>
    </row>
    <row r="295">
      <c r="H295" s="8"/>
    </row>
    <row r="296">
      <c r="H296" s="8"/>
    </row>
    <row r="297">
      <c r="H297" s="8"/>
    </row>
    <row r="298">
      <c r="H298" s="8"/>
    </row>
    <row r="299">
      <c r="H299" s="8"/>
    </row>
    <row r="300">
      <c r="H300" s="8"/>
    </row>
    <row r="301">
      <c r="H301" s="8"/>
    </row>
    <row r="302">
      <c r="H302" s="8"/>
    </row>
    <row r="303">
      <c r="H303" s="8"/>
    </row>
    <row r="304">
      <c r="H304" s="8"/>
    </row>
    <row r="305">
      <c r="H305" s="8"/>
    </row>
    <row r="306">
      <c r="H306" s="8"/>
    </row>
    <row r="307">
      <c r="H307" s="8"/>
    </row>
    <row r="308">
      <c r="H308" s="8"/>
    </row>
    <row r="309">
      <c r="H309" s="8"/>
    </row>
    <row r="310">
      <c r="H310" s="8"/>
    </row>
    <row r="311">
      <c r="H311" s="8"/>
    </row>
    <row r="312">
      <c r="H312" s="8"/>
    </row>
    <row r="313">
      <c r="H313" s="8"/>
    </row>
    <row r="314">
      <c r="H314" s="8"/>
    </row>
    <row r="315">
      <c r="H315" s="8"/>
    </row>
    <row r="316">
      <c r="H316" s="8"/>
    </row>
    <row r="317">
      <c r="H317" s="8"/>
    </row>
    <row r="318">
      <c r="H318" s="8"/>
    </row>
    <row r="319">
      <c r="H319" s="8"/>
    </row>
    <row r="320">
      <c r="H320" s="8"/>
    </row>
    <row r="321">
      <c r="H321" s="8"/>
    </row>
    <row r="322">
      <c r="H322" s="8"/>
    </row>
    <row r="323">
      <c r="H323" s="8"/>
    </row>
    <row r="324">
      <c r="H324" s="8"/>
    </row>
    <row r="325">
      <c r="H325" s="8"/>
    </row>
    <row r="326">
      <c r="H326" s="8"/>
    </row>
    <row r="327">
      <c r="H327" s="8"/>
    </row>
    <row r="328">
      <c r="H328" s="8"/>
    </row>
    <row r="329">
      <c r="H329" s="8"/>
    </row>
    <row r="330">
      <c r="H330" s="8"/>
    </row>
    <row r="331">
      <c r="H331" s="8"/>
    </row>
    <row r="332">
      <c r="H332" s="8"/>
    </row>
    <row r="333">
      <c r="H333" s="8"/>
    </row>
    <row r="334">
      <c r="H334" s="8"/>
    </row>
    <row r="335">
      <c r="H335" s="8"/>
    </row>
    <row r="336">
      <c r="H336" s="8"/>
    </row>
    <row r="337">
      <c r="H337" s="8"/>
    </row>
    <row r="338">
      <c r="H338" s="8"/>
    </row>
    <row r="339">
      <c r="H339" s="8"/>
    </row>
    <row r="340">
      <c r="H340" s="8"/>
    </row>
    <row r="341">
      <c r="H341" s="8"/>
    </row>
    <row r="342">
      <c r="H342" s="8"/>
    </row>
    <row r="343">
      <c r="H343" s="8"/>
    </row>
    <row r="344">
      <c r="H344" s="8"/>
    </row>
    <row r="345">
      <c r="H345" s="8"/>
    </row>
    <row r="346">
      <c r="H346" s="8"/>
    </row>
    <row r="347">
      <c r="H347" s="8"/>
    </row>
    <row r="348">
      <c r="H348" s="8"/>
    </row>
    <row r="349">
      <c r="H349" s="8"/>
    </row>
    <row r="350">
      <c r="H350" s="8"/>
    </row>
    <row r="351">
      <c r="H351" s="8"/>
    </row>
    <row r="352">
      <c r="H352" s="8"/>
    </row>
    <row r="353">
      <c r="H353" s="8"/>
    </row>
    <row r="354">
      <c r="H354" s="8"/>
    </row>
    <row r="355">
      <c r="H355" s="8"/>
    </row>
    <row r="356">
      <c r="H356" s="8"/>
    </row>
    <row r="357">
      <c r="H357" s="8"/>
    </row>
    <row r="358">
      <c r="H358" s="8"/>
    </row>
    <row r="359">
      <c r="H359" s="8"/>
    </row>
    <row r="360">
      <c r="H360" s="8"/>
    </row>
    <row r="361">
      <c r="H361" s="8"/>
    </row>
    <row r="362">
      <c r="H362" s="8"/>
    </row>
    <row r="363">
      <c r="H363" s="8"/>
    </row>
    <row r="364">
      <c r="H364" s="8"/>
    </row>
    <row r="365">
      <c r="H365" s="8"/>
    </row>
    <row r="366">
      <c r="H366" s="8"/>
    </row>
    <row r="367">
      <c r="H367" s="8"/>
    </row>
    <row r="368">
      <c r="H368" s="8"/>
    </row>
    <row r="369">
      <c r="H369" s="8"/>
    </row>
    <row r="370">
      <c r="H370" s="8"/>
    </row>
    <row r="371">
      <c r="H371" s="8"/>
    </row>
    <row r="372">
      <c r="H372" s="8"/>
    </row>
    <row r="373">
      <c r="H373" s="8"/>
    </row>
    <row r="374">
      <c r="H374" s="8"/>
    </row>
    <row r="375">
      <c r="H375" s="8"/>
    </row>
    <row r="376">
      <c r="H376" s="8"/>
    </row>
    <row r="377">
      <c r="H377" s="8"/>
    </row>
    <row r="378">
      <c r="H378" s="8"/>
    </row>
    <row r="379">
      <c r="H379" s="8"/>
    </row>
    <row r="380">
      <c r="H380" s="8"/>
    </row>
    <row r="381">
      <c r="H381" s="8"/>
    </row>
    <row r="382">
      <c r="H382" s="8"/>
    </row>
    <row r="383">
      <c r="H383" s="8"/>
    </row>
    <row r="384">
      <c r="H384" s="8"/>
    </row>
    <row r="385">
      <c r="H385" s="8"/>
    </row>
    <row r="386">
      <c r="H386" s="8"/>
    </row>
    <row r="387">
      <c r="H387" s="8"/>
    </row>
    <row r="388">
      <c r="H388" s="8"/>
    </row>
    <row r="389">
      <c r="H389" s="8"/>
    </row>
    <row r="390">
      <c r="H390" s="8"/>
    </row>
    <row r="391">
      <c r="H391" s="8"/>
    </row>
    <row r="392">
      <c r="H392" s="8"/>
    </row>
    <row r="393">
      <c r="H393" s="8"/>
    </row>
    <row r="394">
      <c r="H394" s="8"/>
    </row>
    <row r="395">
      <c r="H395" s="8"/>
    </row>
    <row r="396">
      <c r="H396" s="8"/>
    </row>
    <row r="397">
      <c r="H397" s="8"/>
    </row>
    <row r="398">
      <c r="H398" s="8"/>
    </row>
    <row r="399">
      <c r="H399" s="8"/>
    </row>
    <row r="400">
      <c r="H400" s="8"/>
    </row>
    <row r="401">
      <c r="H401" s="8"/>
    </row>
    <row r="402">
      <c r="H402" s="8"/>
    </row>
    <row r="403">
      <c r="H403" s="8"/>
    </row>
    <row r="404">
      <c r="H404" s="8"/>
    </row>
    <row r="405">
      <c r="H405" s="8"/>
    </row>
    <row r="406">
      <c r="H406" s="8"/>
    </row>
    <row r="407">
      <c r="H407" s="8"/>
    </row>
    <row r="408">
      <c r="H408" s="8"/>
    </row>
    <row r="409">
      <c r="H409" s="8"/>
    </row>
    <row r="410">
      <c r="H410" s="8"/>
    </row>
    <row r="411">
      <c r="H411" s="8"/>
    </row>
    <row r="412">
      <c r="H412" s="8"/>
    </row>
    <row r="413">
      <c r="H413" s="8"/>
    </row>
    <row r="414">
      <c r="H414" s="8"/>
    </row>
    <row r="415">
      <c r="H415" s="8"/>
    </row>
    <row r="416">
      <c r="H416" s="8"/>
    </row>
    <row r="417">
      <c r="H417" s="8"/>
    </row>
    <row r="418">
      <c r="H418" s="8"/>
    </row>
    <row r="419">
      <c r="H419" s="8"/>
    </row>
    <row r="420">
      <c r="H420" s="8"/>
    </row>
    <row r="421">
      <c r="H421" s="8"/>
    </row>
    <row r="422">
      <c r="H422" s="8"/>
    </row>
    <row r="423">
      <c r="H423" s="8"/>
    </row>
    <row r="424">
      <c r="H424" s="8"/>
    </row>
    <row r="425">
      <c r="H425" s="8"/>
    </row>
    <row r="426">
      <c r="H426" s="8"/>
    </row>
    <row r="427">
      <c r="H427" s="8"/>
    </row>
    <row r="428">
      <c r="H428" s="8"/>
    </row>
    <row r="429">
      <c r="H429" s="8"/>
    </row>
    <row r="430">
      <c r="H430" s="8"/>
    </row>
    <row r="431">
      <c r="H431" s="8"/>
    </row>
    <row r="432">
      <c r="H432" s="8"/>
    </row>
    <row r="433">
      <c r="H433" s="8"/>
    </row>
    <row r="434">
      <c r="H434" s="8"/>
    </row>
    <row r="435">
      <c r="H435" s="8"/>
    </row>
    <row r="436">
      <c r="H436" s="8"/>
    </row>
    <row r="437">
      <c r="H437" s="8"/>
    </row>
    <row r="438">
      <c r="H438" s="8"/>
    </row>
    <row r="439">
      <c r="H439" s="8"/>
    </row>
    <row r="440">
      <c r="H440" s="8"/>
    </row>
    <row r="441">
      <c r="H441" s="8"/>
    </row>
    <row r="442">
      <c r="H442" s="8"/>
    </row>
    <row r="443">
      <c r="H443" s="8"/>
    </row>
    <row r="444">
      <c r="H444" s="8"/>
    </row>
    <row r="445">
      <c r="H445" s="8"/>
    </row>
    <row r="446">
      <c r="H446" s="8"/>
    </row>
    <row r="447">
      <c r="H447" s="8"/>
    </row>
    <row r="448">
      <c r="H448" s="8"/>
    </row>
    <row r="449">
      <c r="H449" s="8"/>
    </row>
    <row r="450">
      <c r="H450" s="8"/>
    </row>
    <row r="451">
      <c r="H451" s="8"/>
    </row>
    <row r="452">
      <c r="H452" s="8"/>
    </row>
    <row r="453">
      <c r="H453" s="8"/>
    </row>
    <row r="454">
      <c r="H454" s="8"/>
    </row>
    <row r="455">
      <c r="H455" s="8"/>
    </row>
    <row r="456">
      <c r="H456" s="8"/>
    </row>
    <row r="457">
      <c r="H457" s="8"/>
    </row>
    <row r="458">
      <c r="H458" s="8"/>
    </row>
    <row r="459">
      <c r="H459" s="8"/>
    </row>
    <row r="460">
      <c r="H460" s="8"/>
    </row>
    <row r="461">
      <c r="H461" s="8"/>
    </row>
    <row r="462">
      <c r="H462" s="8"/>
    </row>
    <row r="463">
      <c r="H463" s="8"/>
    </row>
    <row r="464">
      <c r="H464" s="8"/>
    </row>
    <row r="465">
      <c r="H465" s="8"/>
    </row>
    <row r="466">
      <c r="H466" s="8"/>
    </row>
    <row r="467">
      <c r="H467" s="8"/>
    </row>
    <row r="468">
      <c r="H468" s="8"/>
    </row>
    <row r="469">
      <c r="H469" s="8"/>
    </row>
    <row r="470">
      <c r="H470" s="8"/>
    </row>
    <row r="471">
      <c r="H471" s="8"/>
    </row>
    <row r="472">
      <c r="H472" s="8"/>
    </row>
    <row r="473">
      <c r="H473" s="8"/>
    </row>
    <row r="474">
      <c r="H474" s="8"/>
    </row>
    <row r="475">
      <c r="H475" s="8"/>
    </row>
    <row r="476">
      <c r="H476" s="8"/>
    </row>
    <row r="477">
      <c r="H477" s="8"/>
    </row>
    <row r="478">
      <c r="H478" s="8"/>
    </row>
    <row r="479">
      <c r="H479" s="8"/>
    </row>
    <row r="480">
      <c r="H480" s="8"/>
    </row>
    <row r="481">
      <c r="H481" s="8"/>
    </row>
    <row r="482">
      <c r="H482" s="8"/>
    </row>
    <row r="483">
      <c r="H483" s="8"/>
    </row>
    <row r="484">
      <c r="H484" s="8"/>
    </row>
    <row r="485">
      <c r="H485" s="8"/>
    </row>
    <row r="486">
      <c r="H486" s="8"/>
    </row>
    <row r="487">
      <c r="H487" s="8"/>
    </row>
    <row r="488">
      <c r="H488" s="8"/>
    </row>
    <row r="489">
      <c r="H489" s="8"/>
    </row>
    <row r="490">
      <c r="H490" s="8"/>
    </row>
    <row r="491">
      <c r="H491" s="8"/>
    </row>
    <row r="492">
      <c r="H492" s="8"/>
    </row>
    <row r="493">
      <c r="H493" s="8"/>
    </row>
    <row r="494">
      <c r="H494" s="8"/>
    </row>
    <row r="495">
      <c r="H495" s="8"/>
    </row>
    <row r="496">
      <c r="H496" s="8"/>
    </row>
    <row r="497">
      <c r="H497" s="8"/>
    </row>
    <row r="498">
      <c r="H498" s="8"/>
    </row>
    <row r="499">
      <c r="H499" s="8"/>
    </row>
    <row r="500">
      <c r="H500" s="8"/>
    </row>
    <row r="501">
      <c r="H501" s="8"/>
    </row>
    <row r="502">
      <c r="H502" s="8"/>
    </row>
    <row r="503">
      <c r="H503" s="8"/>
    </row>
    <row r="504">
      <c r="H504" s="8"/>
    </row>
    <row r="505">
      <c r="H505" s="8"/>
    </row>
    <row r="506">
      <c r="H506" s="8"/>
    </row>
    <row r="507">
      <c r="H507" s="8"/>
    </row>
    <row r="508">
      <c r="H508" s="8"/>
    </row>
    <row r="509">
      <c r="H509" s="8"/>
    </row>
    <row r="510">
      <c r="H510" s="8"/>
    </row>
    <row r="511">
      <c r="H511" s="8"/>
    </row>
    <row r="512">
      <c r="H512" s="8"/>
    </row>
    <row r="513">
      <c r="H513" s="8"/>
    </row>
    <row r="514">
      <c r="H514" s="8"/>
    </row>
    <row r="515">
      <c r="H515" s="8"/>
    </row>
    <row r="516">
      <c r="H516" s="8"/>
    </row>
    <row r="517">
      <c r="H517" s="8"/>
    </row>
    <row r="518">
      <c r="H518" s="8"/>
    </row>
    <row r="519">
      <c r="H519" s="8"/>
    </row>
    <row r="520">
      <c r="H520" s="8"/>
    </row>
    <row r="521">
      <c r="H521" s="8"/>
    </row>
    <row r="522">
      <c r="H522" s="8"/>
    </row>
    <row r="523">
      <c r="H523" s="8"/>
    </row>
    <row r="524">
      <c r="H524" s="8"/>
    </row>
    <row r="525">
      <c r="H525" s="8"/>
    </row>
    <row r="526">
      <c r="H526" s="8"/>
    </row>
    <row r="527">
      <c r="H527" s="8"/>
    </row>
    <row r="528">
      <c r="H528" s="8"/>
    </row>
    <row r="529">
      <c r="H529" s="8"/>
    </row>
    <row r="530">
      <c r="H530" s="8"/>
    </row>
    <row r="531">
      <c r="H531" s="8"/>
    </row>
    <row r="532">
      <c r="H532" s="8"/>
    </row>
    <row r="533">
      <c r="H533" s="8"/>
    </row>
    <row r="534">
      <c r="H534" s="8"/>
    </row>
    <row r="535">
      <c r="H535" s="8"/>
    </row>
    <row r="536">
      <c r="H536" s="8"/>
    </row>
    <row r="537">
      <c r="H537" s="8"/>
    </row>
    <row r="538">
      <c r="H538" s="8"/>
    </row>
    <row r="539">
      <c r="H539" s="8"/>
    </row>
    <row r="540">
      <c r="H540" s="8"/>
    </row>
    <row r="541">
      <c r="H541" s="8"/>
    </row>
    <row r="542">
      <c r="H542" s="8"/>
    </row>
    <row r="543">
      <c r="H543" s="8"/>
    </row>
    <row r="544">
      <c r="H544" s="8"/>
    </row>
    <row r="545">
      <c r="H545" s="8"/>
    </row>
    <row r="546">
      <c r="H546" s="8"/>
    </row>
    <row r="547">
      <c r="H547" s="8"/>
    </row>
    <row r="548">
      <c r="H548" s="8"/>
    </row>
    <row r="549">
      <c r="H549" s="8"/>
    </row>
    <row r="550">
      <c r="H550" s="8"/>
    </row>
    <row r="551">
      <c r="H551" s="8"/>
    </row>
    <row r="552">
      <c r="H552" s="8"/>
    </row>
    <row r="553">
      <c r="H553" s="8"/>
    </row>
    <row r="554">
      <c r="H554" s="8"/>
    </row>
    <row r="555">
      <c r="H555" s="8"/>
    </row>
    <row r="556">
      <c r="H556" s="8"/>
    </row>
    <row r="557">
      <c r="H557" s="8"/>
    </row>
    <row r="558">
      <c r="H558" s="8"/>
    </row>
    <row r="559">
      <c r="H559" s="8"/>
    </row>
    <row r="560">
      <c r="H560" s="8"/>
    </row>
    <row r="561">
      <c r="H561" s="8"/>
    </row>
    <row r="562">
      <c r="H562" s="8"/>
    </row>
    <row r="563">
      <c r="H563" s="8"/>
    </row>
    <row r="564">
      <c r="H564" s="8"/>
    </row>
    <row r="565">
      <c r="H565" s="8"/>
    </row>
    <row r="566">
      <c r="H566" s="8"/>
    </row>
    <row r="567">
      <c r="H567" s="8"/>
    </row>
    <row r="568">
      <c r="H568" s="8"/>
    </row>
    <row r="569">
      <c r="H569" s="8"/>
    </row>
    <row r="570">
      <c r="H570" s="8"/>
    </row>
    <row r="571">
      <c r="H571" s="8"/>
    </row>
    <row r="572">
      <c r="H572" s="8"/>
    </row>
    <row r="573">
      <c r="H573" s="8"/>
    </row>
    <row r="574">
      <c r="H574" s="8"/>
    </row>
    <row r="575">
      <c r="H575" s="8"/>
    </row>
    <row r="576">
      <c r="H576" s="8"/>
    </row>
    <row r="577">
      <c r="H577" s="8"/>
    </row>
    <row r="578">
      <c r="H578" s="8"/>
    </row>
    <row r="579">
      <c r="H579" s="8"/>
    </row>
    <row r="580">
      <c r="H580" s="8"/>
    </row>
    <row r="581">
      <c r="H581" s="8"/>
    </row>
    <row r="582">
      <c r="H582" s="8"/>
    </row>
    <row r="583">
      <c r="H583" s="8"/>
    </row>
    <row r="584">
      <c r="H584" s="8"/>
    </row>
    <row r="585">
      <c r="H585" s="8"/>
    </row>
    <row r="586">
      <c r="H586" s="8"/>
    </row>
    <row r="587">
      <c r="H587" s="8"/>
    </row>
    <row r="588">
      <c r="H588" s="8"/>
    </row>
    <row r="589">
      <c r="H589" s="8"/>
    </row>
    <row r="590">
      <c r="H590" s="8"/>
    </row>
    <row r="591">
      <c r="H591" s="8"/>
    </row>
    <row r="592">
      <c r="H592" s="8"/>
    </row>
    <row r="593">
      <c r="H593" s="8"/>
    </row>
    <row r="594">
      <c r="H594" s="8"/>
    </row>
    <row r="595">
      <c r="H595" s="8"/>
    </row>
    <row r="596">
      <c r="H596" s="8"/>
    </row>
    <row r="597">
      <c r="H597" s="8"/>
    </row>
    <row r="598">
      <c r="H598" s="8"/>
    </row>
    <row r="599">
      <c r="H599" s="8"/>
    </row>
    <row r="600">
      <c r="H600" s="8"/>
    </row>
    <row r="601">
      <c r="H601" s="8"/>
    </row>
    <row r="602">
      <c r="H602" s="8"/>
    </row>
    <row r="603">
      <c r="H603" s="8"/>
    </row>
    <row r="604">
      <c r="H604" s="8"/>
    </row>
    <row r="605">
      <c r="H605" s="8"/>
    </row>
    <row r="606">
      <c r="H606" s="8"/>
    </row>
    <row r="607">
      <c r="H607" s="8"/>
    </row>
    <row r="608">
      <c r="H608" s="8"/>
    </row>
    <row r="609">
      <c r="H609" s="8"/>
    </row>
    <row r="610">
      <c r="H610" s="8"/>
    </row>
    <row r="611">
      <c r="H611" s="8"/>
    </row>
    <row r="612">
      <c r="H612" s="8"/>
    </row>
    <row r="613">
      <c r="H613" s="8"/>
    </row>
    <row r="614">
      <c r="H614" s="8"/>
    </row>
    <row r="615">
      <c r="H615" s="8"/>
    </row>
    <row r="616">
      <c r="H616" s="8"/>
    </row>
    <row r="617">
      <c r="H617" s="8"/>
    </row>
    <row r="618">
      <c r="H618" s="8"/>
    </row>
    <row r="619">
      <c r="H619" s="8"/>
    </row>
    <row r="620">
      <c r="H620" s="8"/>
    </row>
    <row r="621">
      <c r="H621" s="8"/>
    </row>
    <row r="622">
      <c r="H622" s="8"/>
    </row>
    <row r="623">
      <c r="H623" s="8"/>
    </row>
    <row r="624">
      <c r="H624" s="8"/>
    </row>
    <row r="625">
      <c r="H625" s="8"/>
    </row>
    <row r="626">
      <c r="H626" s="8"/>
    </row>
    <row r="627">
      <c r="H627" s="8"/>
    </row>
    <row r="628">
      <c r="H628" s="8"/>
    </row>
    <row r="629">
      <c r="H629" s="8"/>
    </row>
    <row r="630">
      <c r="H630" s="8"/>
    </row>
    <row r="631">
      <c r="H631" s="8"/>
    </row>
    <row r="632">
      <c r="H632" s="8"/>
    </row>
    <row r="633">
      <c r="H633" s="8"/>
    </row>
    <row r="634">
      <c r="H634" s="8"/>
    </row>
    <row r="635">
      <c r="H635" s="8"/>
    </row>
    <row r="636">
      <c r="H636" s="8"/>
    </row>
    <row r="637">
      <c r="H637" s="8"/>
    </row>
    <row r="638">
      <c r="H638" s="8"/>
    </row>
    <row r="639">
      <c r="H639" s="8"/>
    </row>
    <row r="640">
      <c r="H640" s="8"/>
    </row>
    <row r="641">
      <c r="H641" s="8"/>
    </row>
    <row r="642">
      <c r="H642" s="8"/>
    </row>
    <row r="643">
      <c r="H643" s="8"/>
    </row>
    <row r="644">
      <c r="H644" s="8"/>
    </row>
    <row r="645">
      <c r="H645" s="8"/>
    </row>
    <row r="646">
      <c r="H646" s="8"/>
    </row>
    <row r="647">
      <c r="H647" s="8"/>
    </row>
    <row r="648">
      <c r="H648" s="8"/>
    </row>
    <row r="649">
      <c r="H649" s="8"/>
    </row>
    <row r="650">
      <c r="H650" s="8"/>
    </row>
    <row r="651">
      <c r="H651" s="8"/>
    </row>
    <row r="652">
      <c r="H652" s="8"/>
    </row>
    <row r="653">
      <c r="H653" s="8"/>
    </row>
    <row r="654">
      <c r="H654" s="8"/>
    </row>
    <row r="655">
      <c r="H655" s="8"/>
    </row>
    <row r="656">
      <c r="H656" s="8"/>
    </row>
    <row r="657">
      <c r="H657" s="8"/>
    </row>
    <row r="658">
      <c r="H658" s="8"/>
    </row>
    <row r="659">
      <c r="H659" s="8"/>
    </row>
    <row r="660">
      <c r="H660" s="8"/>
    </row>
    <row r="661">
      <c r="H661" s="8"/>
    </row>
    <row r="662">
      <c r="H662" s="8"/>
    </row>
    <row r="663">
      <c r="H663" s="8"/>
    </row>
    <row r="664">
      <c r="H664" s="8"/>
    </row>
    <row r="665">
      <c r="H665" s="8"/>
    </row>
    <row r="666">
      <c r="H666" s="8"/>
    </row>
    <row r="667">
      <c r="H667" s="8"/>
    </row>
    <row r="668">
      <c r="H668" s="8"/>
    </row>
    <row r="669">
      <c r="H669" s="8"/>
    </row>
    <row r="670">
      <c r="H670" s="8"/>
    </row>
    <row r="671">
      <c r="H671" s="8"/>
    </row>
    <row r="672">
      <c r="H672" s="8"/>
    </row>
    <row r="673">
      <c r="H673" s="8"/>
    </row>
    <row r="674">
      <c r="H674" s="8"/>
    </row>
    <row r="675">
      <c r="H675" s="8"/>
    </row>
    <row r="676">
      <c r="H676" s="8"/>
    </row>
    <row r="677">
      <c r="H677" s="8"/>
    </row>
    <row r="678">
      <c r="H678" s="8"/>
    </row>
    <row r="679">
      <c r="H679" s="8"/>
    </row>
    <row r="680">
      <c r="H680" s="8"/>
    </row>
    <row r="681">
      <c r="H681" s="8"/>
    </row>
    <row r="682">
      <c r="H682" s="8"/>
    </row>
    <row r="683">
      <c r="H683" s="8"/>
    </row>
    <row r="684">
      <c r="H684" s="8"/>
    </row>
    <row r="685">
      <c r="H685" s="8"/>
    </row>
    <row r="686">
      <c r="H686" s="8"/>
    </row>
    <row r="687">
      <c r="H687" s="8"/>
    </row>
    <row r="688">
      <c r="H688" s="8"/>
    </row>
    <row r="689">
      <c r="H689" s="8"/>
    </row>
    <row r="690">
      <c r="H690" s="8"/>
    </row>
    <row r="691">
      <c r="H691" s="8"/>
    </row>
    <row r="692">
      <c r="H692" s="8"/>
    </row>
    <row r="693">
      <c r="H693" s="8"/>
    </row>
    <row r="694">
      <c r="H694" s="8"/>
    </row>
    <row r="695">
      <c r="H695" s="8"/>
    </row>
    <row r="696">
      <c r="H696" s="8"/>
    </row>
    <row r="697">
      <c r="H697" s="8"/>
    </row>
    <row r="698">
      <c r="H698" s="8"/>
    </row>
    <row r="699">
      <c r="H699" s="8"/>
    </row>
    <row r="700">
      <c r="H700" s="8"/>
    </row>
    <row r="701">
      <c r="H701" s="8"/>
    </row>
    <row r="702">
      <c r="H702" s="8"/>
    </row>
    <row r="703">
      <c r="H703" s="8"/>
    </row>
    <row r="704">
      <c r="H704" s="8"/>
    </row>
    <row r="705">
      <c r="H705" s="8"/>
    </row>
    <row r="706">
      <c r="H706" s="8"/>
    </row>
    <row r="707">
      <c r="H707" s="8"/>
    </row>
    <row r="708">
      <c r="H708" s="8"/>
    </row>
    <row r="709">
      <c r="H709" s="8"/>
    </row>
    <row r="710">
      <c r="H710" s="8"/>
    </row>
    <row r="711">
      <c r="H711" s="8"/>
    </row>
    <row r="712">
      <c r="H712" s="8"/>
    </row>
    <row r="713">
      <c r="H713" s="8"/>
    </row>
    <row r="714">
      <c r="H714" s="8"/>
    </row>
    <row r="715">
      <c r="H715" s="8"/>
    </row>
    <row r="716">
      <c r="H716" s="8"/>
    </row>
    <row r="717">
      <c r="H717" s="8"/>
    </row>
    <row r="718">
      <c r="H718" s="8"/>
    </row>
    <row r="719">
      <c r="H719" s="8"/>
    </row>
    <row r="720">
      <c r="H720" s="8"/>
    </row>
    <row r="721">
      <c r="H721" s="8"/>
    </row>
    <row r="722">
      <c r="H722" s="8"/>
    </row>
    <row r="723">
      <c r="H723" s="8"/>
    </row>
    <row r="724">
      <c r="H724" s="8"/>
    </row>
    <row r="725">
      <c r="H725" s="8"/>
    </row>
    <row r="726">
      <c r="H726" s="8"/>
    </row>
    <row r="727">
      <c r="H727" s="8"/>
    </row>
    <row r="728">
      <c r="H728" s="8"/>
    </row>
    <row r="729">
      <c r="H729" s="8"/>
    </row>
    <row r="730">
      <c r="H730" s="8"/>
    </row>
    <row r="731">
      <c r="H731" s="8"/>
    </row>
    <row r="732">
      <c r="H732" s="8"/>
    </row>
    <row r="733">
      <c r="H733" s="8"/>
    </row>
    <row r="734">
      <c r="H734" s="8"/>
    </row>
    <row r="735">
      <c r="H735" s="8"/>
    </row>
    <row r="736">
      <c r="H736" s="8"/>
    </row>
    <row r="737">
      <c r="H737" s="8"/>
    </row>
    <row r="738">
      <c r="H738" s="8"/>
    </row>
    <row r="739">
      <c r="H739" s="8"/>
    </row>
    <row r="740">
      <c r="H740" s="8"/>
    </row>
    <row r="741">
      <c r="H741" s="8"/>
    </row>
    <row r="742">
      <c r="H742" s="8"/>
    </row>
    <row r="743">
      <c r="H743" s="8"/>
    </row>
    <row r="744">
      <c r="H744" s="8"/>
    </row>
    <row r="745">
      <c r="H745" s="8"/>
    </row>
    <row r="746">
      <c r="H746" s="8"/>
    </row>
    <row r="747">
      <c r="H747" s="8"/>
    </row>
    <row r="748">
      <c r="H748" s="8"/>
    </row>
    <row r="749">
      <c r="H749" s="8"/>
    </row>
    <row r="750">
      <c r="H750" s="8"/>
    </row>
    <row r="751">
      <c r="H751" s="8"/>
    </row>
    <row r="752">
      <c r="H752" s="8"/>
    </row>
    <row r="753">
      <c r="H753" s="8"/>
    </row>
    <row r="754">
      <c r="H754" s="8"/>
    </row>
    <row r="755">
      <c r="H755" s="8"/>
    </row>
    <row r="756">
      <c r="H756" s="8"/>
    </row>
    <row r="757">
      <c r="H757" s="8"/>
    </row>
    <row r="758">
      <c r="H758" s="8"/>
    </row>
    <row r="759">
      <c r="H759" s="8"/>
    </row>
    <row r="760">
      <c r="H760" s="8"/>
    </row>
    <row r="761">
      <c r="H761" s="8"/>
    </row>
    <row r="762">
      <c r="H762" s="8"/>
    </row>
    <row r="763">
      <c r="H763" s="8"/>
    </row>
    <row r="764">
      <c r="H764" s="8"/>
    </row>
    <row r="765">
      <c r="H765" s="8"/>
    </row>
    <row r="766">
      <c r="H766" s="8"/>
    </row>
    <row r="767">
      <c r="H767" s="8"/>
    </row>
    <row r="768">
      <c r="H768" s="8"/>
    </row>
    <row r="769">
      <c r="H769" s="8"/>
    </row>
    <row r="770">
      <c r="H770" s="8"/>
    </row>
    <row r="771">
      <c r="H771" s="8"/>
    </row>
    <row r="772">
      <c r="H772" s="8"/>
    </row>
    <row r="773">
      <c r="H773" s="8"/>
    </row>
    <row r="774">
      <c r="H774" s="8"/>
    </row>
    <row r="775">
      <c r="H775" s="8"/>
    </row>
    <row r="776">
      <c r="H776" s="8"/>
    </row>
    <row r="777">
      <c r="H777" s="8"/>
    </row>
    <row r="778">
      <c r="H778" s="8"/>
    </row>
    <row r="779">
      <c r="H779" s="8"/>
    </row>
    <row r="780">
      <c r="H780" s="8"/>
    </row>
    <row r="781">
      <c r="H781" s="8"/>
    </row>
    <row r="782">
      <c r="H782" s="8"/>
    </row>
    <row r="783">
      <c r="H783" s="8"/>
    </row>
    <row r="784">
      <c r="H784" s="8"/>
    </row>
    <row r="785">
      <c r="H785" s="8"/>
    </row>
    <row r="786">
      <c r="H786" s="8"/>
    </row>
    <row r="787">
      <c r="H787" s="8"/>
    </row>
    <row r="788">
      <c r="H788" s="8"/>
    </row>
    <row r="789">
      <c r="H789" s="8"/>
    </row>
    <row r="790">
      <c r="H790" s="8"/>
    </row>
    <row r="791">
      <c r="H791" s="8"/>
    </row>
    <row r="792">
      <c r="H792" s="8"/>
    </row>
    <row r="793">
      <c r="H793" s="8"/>
    </row>
    <row r="794">
      <c r="H794" s="8"/>
    </row>
    <row r="795">
      <c r="H795" s="8"/>
    </row>
    <row r="796">
      <c r="H796" s="8"/>
    </row>
    <row r="797">
      <c r="H797" s="8"/>
    </row>
    <row r="798">
      <c r="H798" s="8"/>
    </row>
    <row r="799">
      <c r="H799" s="8"/>
    </row>
    <row r="800">
      <c r="H800" s="8"/>
    </row>
    <row r="801">
      <c r="H801" s="8"/>
    </row>
    <row r="802">
      <c r="H802" s="8"/>
    </row>
    <row r="803">
      <c r="H803" s="8"/>
    </row>
    <row r="804">
      <c r="H804" s="8"/>
    </row>
    <row r="805">
      <c r="H805" s="8"/>
    </row>
    <row r="806">
      <c r="H806" s="8"/>
    </row>
    <row r="807">
      <c r="H807" s="8"/>
    </row>
    <row r="808">
      <c r="H808" s="8"/>
    </row>
    <row r="809">
      <c r="H809" s="8"/>
    </row>
    <row r="810">
      <c r="H810" s="8"/>
    </row>
    <row r="811">
      <c r="H811" s="8"/>
    </row>
    <row r="812">
      <c r="H812" s="8"/>
    </row>
    <row r="813">
      <c r="H813" s="8"/>
    </row>
    <row r="814">
      <c r="H814" s="8"/>
    </row>
    <row r="815">
      <c r="H815" s="8"/>
    </row>
    <row r="816">
      <c r="H816" s="8"/>
    </row>
    <row r="817">
      <c r="H817" s="8"/>
    </row>
    <row r="818">
      <c r="H818" s="8"/>
    </row>
    <row r="819">
      <c r="H819" s="8"/>
    </row>
    <row r="820">
      <c r="H820" s="8"/>
    </row>
    <row r="821">
      <c r="H821" s="8"/>
    </row>
    <row r="822">
      <c r="H822" s="8"/>
    </row>
    <row r="823">
      <c r="H823" s="8"/>
    </row>
    <row r="824">
      <c r="H824" s="8"/>
    </row>
    <row r="825">
      <c r="H825" s="8"/>
    </row>
    <row r="826">
      <c r="H826" s="8"/>
    </row>
    <row r="827">
      <c r="H827" s="8"/>
    </row>
    <row r="828">
      <c r="H828" s="8"/>
    </row>
    <row r="829">
      <c r="H829" s="8"/>
    </row>
    <row r="830">
      <c r="H830" s="8"/>
    </row>
    <row r="831">
      <c r="H831" s="8"/>
    </row>
    <row r="832">
      <c r="H832" s="8"/>
    </row>
    <row r="833">
      <c r="H833" s="8"/>
    </row>
    <row r="834">
      <c r="H834" s="8"/>
    </row>
    <row r="835">
      <c r="H835" s="8"/>
    </row>
    <row r="836">
      <c r="H836" s="8"/>
    </row>
    <row r="837">
      <c r="H837" s="8"/>
    </row>
    <row r="838">
      <c r="H838" s="8"/>
    </row>
    <row r="839">
      <c r="H839" s="8"/>
    </row>
    <row r="840">
      <c r="H840" s="8"/>
    </row>
    <row r="841">
      <c r="H841" s="8"/>
    </row>
    <row r="842">
      <c r="H842" s="8"/>
    </row>
    <row r="843">
      <c r="H843" s="8"/>
    </row>
    <row r="844">
      <c r="H844" s="8"/>
    </row>
    <row r="845">
      <c r="H845" s="8"/>
    </row>
    <row r="846">
      <c r="H846" s="8"/>
    </row>
    <row r="847">
      <c r="H847" s="8"/>
    </row>
    <row r="848">
      <c r="H848" s="8"/>
    </row>
    <row r="849">
      <c r="H849" s="8"/>
    </row>
    <row r="850">
      <c r="H850" s="8"/>
    </row>
    <row r="851">
      <c r="H851" s="8"/>
    </row>
    <row r="852">
      <c r="H852" s="8"/>
    </row>
    <row r="853">
      <c r="H853" s="8"/>
    </row>
    <row r="854">
      <c r="H854" s="8"/>
    </row>
    <row r="855">
      <c r="H855" s="8"/>
    </row>
    <row r="856">
      <c r="H856" s="8"/>
    </row>
    <row r="857">
      <c r="H857" s="8"/>
    </row>
    <row r="858">
      <c r="H858" s="8"/>
    </row>
    <row r="859">
      <c r="H859" s="8"/>
    </row>
    <row r="860">
      <c r="H860" s="8"/>
    </row>
    <row r="861">
      <c r="H861" s="8"/>
    </row>
    <row r="862">
      <c r="H862" s="8"/>
    </row>
    <row r="863">
      <c r="H863" s="8"/>
    </row>
    <row r="864">
      <c r="H864" s="8"/>
    </row>
    <row r="865">
      <c r="H865" s="8"/>
    </row>
    <row r="866">
      <c r="H866" s="8"/>
    </row>
    <row r="867">
      <c r="H867" s="8"/>
    </row>
    <row r="868">
      <c r="H868" s="8"/>
    </row>
    <row r="869">
      <c r="H869" s="8"/>
    </row>
    <row r="870">
      <c r="H870" s="8"/>
    </row>
    <row r="871">
      <c r="H871" s="8"/>
    </row>
    <row r="872">
      <c r="H872" s="8"/>
    </row>
    <row r="873">
      <c r="H873" s="8"/>
    </row>
    <row r="874">
      <c r="H874" s="8"/>
    </row>
    <row r="875">
      <c r="H875" s="8"/>
    </row>
    <row r="876">
      <c r="H876" s="8"/>
    </row>
    <row r="877">
      <c r="H877" s="8"/>
    </row>
    <row r="878">
      <c r="H878" s="8"/>
    </row>
    <row r="879">
      <c r="H879" s="8"/>
    </row>
    <row r="880">
      <c r="H880" s="8"/>
    </row>
    <row r="881">
      <c r="H881" s="8"/>
    </row>
    <row r="882">
      <c r="H882" s="8"/>
    </row>
    <row r="883">
      <c r="H883" s="8"/>
    </row>
    <row r="884">
      <c r="H884" s="8"/>
    </row>
    <row r="885">
      <c r="H885" s="8"/>
    </row>
    <row r="886">
      <c r="H886" s="8"/>
    </row>
    <row r="887">
      <c r="H887" s="8"/>
    </row>
    <row r="888">
      <c r="H888" s="8"/>
    </row>
    <row r="889">
      <c r="H889" s="8"/>
    </row>
    <row r="890">
      <c r="H890" s="8"/>
    </row>
    <row r="891">
      <c r="H891" s="8"/>
    </row>
    <row r="892">
      <c r="H892" s="8"/>
    </row>
    <row r="893">
      <c r="H893" s="8"/>
    </row>
    <row r="894">
      <c r="H894" s="8"/>
    </row>
    <row r="895">
      <c r="H895" s="8"/>
    </row>
    <row r="896">
      <c r="H896" s="8"/>
    </row>
    <row r="897">
      <c r="H897" s="8"/>
    </row>
    <row r="898">
      <c r="H898" s="8"/>
    </row>
    <row r="899">
      <c r="H899" s="8"/>
    </row>
    <row r="900">
      <c r="H900" s="8"/>
    </row>
    <row r="901">
      <c r="H901" s="8"/>
    </row>
    <row r="902">
      <c r="H902" s="8"/>
    </row>
    <row r="903">
      <c r="H903" s="8"/>
    </row>
    <row r="904">
      <c r="H904" s="8"/>
    </row>
    <row r="905">
      <c r="H905" s="8"/>
    </row>
    <row r="906">
      <c r="H906" s="8"/>
    </row>
    <row r="907">
      <c r="H907" s="8"/>
    </row>
    <row r="908">
      <c r="H908" s="8"/>
    </row>
    <row r="909">
      <c r="H909" s="8"/>
    </row>
    <row r="910">
      <c r="H910" s="8"/>
    </row>
    <row r="911">
      <c r="H911" s="8"/>
    </row>
    <row r="912">
      <c r="H912" s="8"/>
    </row>
    <row r="913">
      <c r="H913" s="8"/>
    </row>
    <row r="914">
      <c r="H914" s="8"/>
    </row>
    <row r="915">
      <c r="H915" s="8"/>
    </row>
    <row r="916">
      <c r="H916" s="8"/>
    </row>
    <row r="917">
      <c r="H917" s="8"/>
    </row>
    <row r="918">
      <c r="H918" s="8"/>
    </row>
    <row r="919">
      <c r="H919" s="8"/>
    </row>
    <row r="920">
      <c r="H920" s="8"/>
    </row>
    <row r="921">
      <c r="H921" s="8"/>
    </row>
    <row r="922">
      <c r="H922" s="8"/>
    </row>
    <row r="923">
      <c r="H923" s="8"/>
    </row>
    <row r="924">
      <c r="H924" s="8"/>
    </row>
    <row r="925">
      <c r="H925" s="8"/>
    </row>
    <row r="926">
      <c r="H926" s="8"/>
    </row>
    <row r="927">
      <c r="H927" s="8"/>
    </row>
    <row r="928">
      <c r="H928" s="8"/>
    </row>
    <row r="929">
      <c r="H929" s="8"/>
    </row>
    <row r="930">
      <c r="H930" s="8"/>
    </row>
    <row r="931">
      <c r="H931" s="8"/>
    </row>
    <row r="932">
      <c r="H932" s="8"/>
    </row>
    <row r="933">
      <c r="H933" s="8"/>
    </row>
    <row r="934">
      <c r="H934" s="8"/>
    </row>
    <row r="935">
      <c r="H935" s="8"/>
    </row>
    <row r="936">
      <c r="H936" s="8"/>
    </row>
    <row r="937">
      <c r="H937" s="8"/>
    </row>
    <row r="938">
      <c r="H938" s="8"/>
    </row>
    <row r="939">
      <c r="H939" s="8"/>
    </row>
    <row r="940">
      <c r="H940" s="8"/>
    </row>
    <row r="941">
      <c r="H941" s="8"/>
    </row>
    <row r="942">
      <c r="H942" s="8"/>
    </row>
    <row r="943">
      <c r="H943" s="8"/>
    </row>
    <row r="944">
      <c r="H944" s="8"/>
    </row>
    <row r="945">
      <c r="H945" s="8"/>
    </row>
    <row r="946">
      <c r="H946" s="8"/>
    </row>
    <row r="947">
      <c r="H947" s="8"/>
    </row>
    <row r="948">
      <c r="H948" s="8"/>
    </row>
    <row r="949">
      <c r="H949" s="8"/>
    </row>
    <row r="950">
      <c r="H950" s="8"/>
    </row>
    <row r="951">
      <c r="H951" s="8"/>
    </row>
    <row r="952">
      <c r="H952" s="8"/>
    </row>
    <row r="953">
      <c r="H953" s="8"/>
    </row>
    <row r="954">
      <c r="H954" s="8"/>
    </row>
    <row r="955">
      <c r="H955" s="8"/>
    </row>
    <row r="956">
      <c r="H956" s="8"/>
    </row>
    <row r="957">
      <c r="H957" s="8"/>
    </row>
    <row r="958">
      <c r="H958" s="8"/>
    </row>
    <row r="959">
      <c r="H959" s="8"/>
    </row>
    <row r="960">
      <c r="H960" s="8"/>
    </row>
    <row r="961">
      <c r="H961" s="8"/>
    </row>
    <row r="962">
      <c r="H962" s="8"/>
    </row>
    <row r="963">
      <c r="H963" s="8"/>
    </row>
    <row r="964">
      <c r="H964" s="8"/>
    </row>
    <row r="965">
      <c r="H965" s="8"/>
    </row>
    <row r="966">
      <c r="H966" s="8"/>
    </row>
    <row r="967">
      <c r="H967" s="8"/>
    </row>
    <row r="968">
      <c r="H968" s="8"/>
    </row>
    <row r="969">
      <c r="H969" s="8"/>
    </row>
    <row r="970">
      <c r="H970" s="8"/>
    </row>
    <row r="971">
      <c r="H971" s="8"/>
    </row>
    <row r="972">
      <c r="H972" s="8"/>
    </row>
    <row r="973">
      <c r="H973" s="8"/>
    </row>
    <row r="974">
      <c r="H974" s="8"/>
    </row>
    <row r="975">
      <c r="H975" s="8"/>
    </row>
    <row r="976">
      <c r="H976" s="8"/>
    </row>
    <row r="977">
      <c r="H977" s="8"/>
    </row>
    <row r="978">
      <c r="H978" s="8"/>
    </row>
    <row r="979">
      <c r="H979" s="8"/>
    </row>
    <row r="980">
      <c r="H980" s="8"/>
    </row>
    <row r="981">
      <c r="H981" s="8"/>
    </row>
    <row r="982">
      <c r="H982" s="8"/>
    </row>
    <row r="983">
      <c r="H983" s="8"/>
    </row>
    <row r="984">
      <c r="H984" s="8"/>
    </row>
    <row r="985">
      <c r="H985" s="8"/>
    </row>
    <row r="986">
      <c r="H986" s="8"/>
    </row>
    <row r="987">
      <c r="H987" s="8"/>
    </row>
    <row r="988">
      <c r="H988" s="8"/>
    </row>
    <row r="989">
      <c r="H989" s="8"/>
    </row>
    <row r="990">
      <c r="H990" s="8"/>
    </row>
    <row r="991">
      <c r="H991" s="8"/>
    </row>
    <row r="992">
      <c r="H992" s="8"/>
    </row>
    <row r="993">
      <c r="H993" s="8"/>
    </row>
    <row r="994">
      <c r="H994" s="8"/>
    </row>
    <row r="995">
      <c r="H995" s="8"/>
    </row>
    <row r="996">
      <c r="H996" s="8"/>
    </row>
    <row r="997">
      <c r="H997" s="8"/>
    </row>
    <row r="998">
      <c r="H998" s="8"/>
    </row>
    <row r="999">
      <c r="H999" s="8"/>
    </row>
    <row r="1000">
      <c r="H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5.88"/>
    <col customWidth="1" min="4" max="4" width="8.88"/>
  </cols>
  <sheetData>
    <row r="1">
      <c r="A1" s="1" t="s">
        <v>0</v>
      </c>
      <c r="B1" s="1" t="s">
        <v>1</v>
      </c>
      <c r="C1" s="1" t="s">
        <v>125</v>
      </c>
      <c r="D1" s="1" t="s">
        <v>109</v>
      </c>
    </row>
    <row r="2">
      <c r="A2" s="3">
        <v>1.0</v>
      </c>
      <c r="B2" s="3" t="s">
        <v>39</v>
      </c>
      <c r="C2" s="3">
        <v>5.0</v>
      </c>
      <c r="D2" s="3">
        <v>25.0</v>
      </c>
    </row>
    <row r="3">
      <c r="A3" s="3">
        <v>1.0</v>
      </c>
      <c r="B3" s="3" t="s">
        <v>22</v>
      </c>
      <c r="C3" s="3">
        <v>5.0</v>
      </c>
      <c r="D3" s="3">
        <v>25.0</v>
      </c>
    </row>
    <row r="4">
      <c r="A4" s="3">
        <v>2.0</v>
      </c>
      <c r="B4" s="3" t="s">
        <v>28</v>
      </c>
      <c r="C4" s="3">
        <v>4.0</v>
      </c>
      <c r="D4" s="3">
        <v>20.0</v>
      </c>
    </row>
    <row r="5">
      <c r="A5" s="3">
        <v>2.0</v>
      </c>
      <c r="B5" s="3" t="s">
        <v>34</v>
      </c>
      <c r="C5" s="3">
        <v>4.0</v>
      </c>
      <c r="D5" s="3">
        <v>20.0</v>
      </c>
    </row>
    <row r="6">
      <c r="A6" s="3">
        <v>3.0</v>
      </c>
      <c r="B6" s="3" t="s">
        <v>31</v>
      </c>
      <c r="C6" s="3">
        <v>3.0</v>
      </c>
      <c r="D6" s="3">
        <v>15.0</v>
      </c>
    </row>
    <row r="7">
      <c r="A7" s="3">
        <v>3.0</v>
      </c>
      <c r="B7" s="3" t="s">
        <v>35</v>
      </c>
      <c r="C7" s="3">
        <v>3.0</v>
      </c>
      <c r="D7" s="3">
        <v>15.0</v>
      </c>
    </row>
    <row r="8">
      <c r="A8" s="3" t="s">
        <v>126</v>
      </c>
      <c r="B8" s="3" t="s">
        <v>26</v>
      </c>
      <c r="C8" s="3">
        <v>2.0</v>
      </c>
      <c r="D8" s="3">
        <v>10.0</v>
      </c>
    </row>
    <row r="9">
      <c r="A9" s="3" t="s">
        <v>126</v>
      </c>
      <c r="B9" s="3" t="s">
        <v>58</v>
      </c>
      <c r="C9" s="3">
        <v>2.0</v>
      </c>
      <c r="D9" s="3">
        <v>10.0</v>
      </c>
    </row>
    <row r="10">
      <c r="A10" s="3" t="s">
        <v>126</v>
      </c>
      <c r="B10" s="3" t="s">
        <v>20</v>
      </c>
      <c r="C10" s="3">
        <v>2.0</v>
      </c>
      <c r="D10" s="3">
        <v>10.0</v>
      </c>
    </row>
    <row r="11">
      <c r="A11" s="3" t="s">
        <v>126</v>
      </c>
      <c r="B11" s="3" t="s">
        <v>67</v>
      </c>
      <c r="C11" s="3">
        <v>2.0</v>
      </c>
      <c r="D11" s="3">
        <v>10.0</v>
      </c>
    </row>
    <row r="12">
      <c r="A12" s="3" t="s">
        <v>126</v>
      </c>
      <c r="B12" s="3" t="s">
        <v>53</v>
      </c>
      <c r="C12" s="3">
        <v>2.0</v>
      </c>
      <c r="D12" s="3">
        <v>10.0</v>
      </c>
    </row>
    <row r="13">
      <c r="A13" s="3" t="s">
        <v>126</v>
      </c>
      <c r="B13" s="3" t="s">
        <v>81</v>
      </c>
      <c r="C13" s="3">
        <v>2.0</v>
      </c>
      <c r="D13" s="3">
        <v>10.0</v>
      </c>
    </row>
    <row r="14">
      <c r="A14" s="3" t="s">
        <v>127</v>
      </c>
      <c r="B14" s="3" t="s">
        <v>32</v>
      </c>
      <c r="C14" s="3">
        <v>1.0</v>
      </c>
      <c r="D14" s="3">
        <v>5.0</v>
      </c>
    </row>
    <row r="15">
      <c r="A15" s="3" t="s">
        <v>127</v>
      </c>
      <c r="B15" s="3" t="s">
        <v>63</v>
      </c>
      <c r="C15" s="3">
        <v>1.0</v>
      </c>
      <c r="D15" s="3">
        <v>5.0</v>
      </c>
    </row>
    <row r="16">
      <c r="A16" s="3" t="s">
        <v>127</v>
      </c>
      <c r="B16" s="3" t="s">
        <v>42</v>
      </c>
      <c r="C16" s="3">
        <v>1.0</v>
      </c>
      <c r="D16" s="3">
        <v>5.0</v>
      </c>
    </row>
    <row r="17">
      <c r="A17" s="3" t="s">
        <v>127</v>
      </c>
      <c r="B17" s="3" t="s">
        <v>86</v>
      </c>
      <c r="C17" s="3">
        <v>1.0</v>
      </c>
      <c r="D17" s="3">
        <v>5.0</v>
      </c>
    </row>
    <row r="18">
      <c r="A18" s="3" t="s">
        <v>127</v>
      </c>
      <c r="B18" s="3" t="s">
        <v>45</v>
      </c>
      <c r="C18" s="3">
        <v>1.0</v>
      </c>
      <c r="D18" s="3">
        <v>5.0</v>
      </c>
    </row>
    <row r="19">
      <c r="A19" s="3" t="s">
        <v>127</v>
      </c>
      <c r="B19" s="3" t="s">
        <v>88</v>
      </c>
      <c r="C19" s="3">
        <v>1.0</v>
      </c>
      <c r="D19" s="3">
        <v>5.0</v>
      </c>
    </row>
    <row r="20">
      <c r="A20" s="3" t="s">
        <v>127</v>
      </c>
      <c r="B20" s="3" t="s">
        <v>56</v>
      </c>
      <c r="C20" s="3">
        <v>1.0</v>
      </c>
      <c r="D20" s="3">
        <v>5.0</v>
      </c>
    </row>
    <row r="21">
      <c r="A21" s="3" t="s">
        <v>127</v>
      </c>
      <c r="B21" s="3" t="s">
        <v>65</v>
      </c>
      <c r="C21" s="3">
        <v>1.0</v>
      </c>
      <c r="D21" s="3">
        <v>5.0</v>
      </c>
    </row>
    <row r="22">
      <c r="A22" s="3" t="s">
        <v>127</v>
      </c>
      <c r="B22" s="3" t="s">
        <v>24</v>
      </c>
      <c r="C22" s="3">
        <v>1.0</v>
      </c>
      <c r="D22" s="3">
        <v>5.0</v>
      </c>
    </row>
    <row r="23">
      <c r="A23" s="3" t="s">
        <v>127</v>
      </c>
      <c r="B23" s="3" t="s">
        <v>70</v>
      </c>
      <c r="C23" s="3">
        <v>1.0</v>
      </c>
      <c r="D23" s="3">
        <v>5.0</v>
      </c>
    </row>
    <row r="24">
      <c r="A24" s="3" t="s">
        <v>127</v>
      </c>
      <c r="B24" s="3" t="s">
        <v>82</v>
      </c>
      <c r="C24" s="3">
        <v>1.0</v>
      </c>
      <c r="D24" s="3">
        <v>5.0</v>
      </c>
    </row>
    <row r="25">
      <c r="A25" s="3" t="s">
        <v>127</v>
      </c>
      <c r="B25" s="3" t="s">
        <v>36</v>
      </c>
      <c r="C25" s="3">
        <v>1.0</v>
      </c>
      <c r="D25" s="3">
        <v>5.0</v>
      </c>
    </row>
    <row r="26">
      <c r="A26" s="3" t="s">
        <v>117</v>
      </c>
      <c r="B26" s="3" t="s">
        <v>95</v>
      </c>
      <c r="C26" s="3">
        <v>0.0</v>
      </c>
      <c r="D26" s="3">
        <v>0.0</v>
      </c>
    </row>
    <row r="27">
      <c r="A27" s="3" t="s">
        <v>117</v>
      </c>
      <c r="B27" s="3" t="s">
        <v>52</v>
      </c>
      <c r="C27" s="3">
        <v>0.0</v>
      </c>
      <c r="D27" s="3">
        <v>0.0</v>
      </c>
    </row>
    <row r="28">
      <c r="A28" s="3" t="s">
        <v>117</v>
      </c>
      <c r="B28" s="3" t="s">
        <v>43</v>
      </c>
      <c r="C28" s="3">
        <v>0.0</v>
      </c>
      <c r="D28" s="3">
        <v>0.0</v>
      </c>
    </row>
    <row r="29">
      <c r="A29" s="3" t="s">
        <v>117</v>
      </c>
      <c r="B29" s="3" t="s">
        <v>99</v>
      </c>
      <c r="C29" s="3">
        <v>0.0</v>
      </c>
      <c r="D29" s="3">
        <v>0.0</v>
      </c>
    </row>
    <row r="30">
      <c r="A30" s="3" t="s">
        <v>117</v>
      </c>
      <c r="B30" s="3" t="s">
        <v>48</v>
      </c>
      <c r="C30" s="3">
        <v>0.0</v>
      </c>
      <c r="D30" s="3">
        <v>0.0</v>
      </c>
    </row>
    <row r="31">
      <c r="A31" s="3" t="s">
        <v>117</v>
      </c>
      <c r="B31" s="3" t="s">
        <v>96</v>
      </c>
      <c r="C31" s="3">
        <v>0.0</v>
      </c>
      <c r="D31" s="3">
        <v>0.0</v>
      </c>
    </row>
    <row r="32">
      <c r="A32" s="3" t="s">
        <v>117</v>
      </c>
      <c r="B32" s="3" t="s">
        <v>69</v>
      </c>
      <c r="C32" s="3">
        <v>0.0</v>
      </c>
      <c r="D32" s="3">
        <v>0.0</v>
      </c>
    </row>
    <row r="33">
      <c r="A33" s="3" t="s">
        <v>117</v>
      </c>
      <c r="B33" s="3" t="s">
        <v>38</v>
      </c>
      <c r="C33" s="3">
        <v>0.0</v>
      </c>
      <c r="D33" s="3">
        <v>0.0</v>
      </c>
    </row>
    <row r="34">
      <c r="A34" s="3" t="s">
        <v>117</v>
      </c>
      <c r="B34" s="3" t="s">
        <v>59</v>
      </c>
      <c r="C34" s="3">
        <v>0.0</v>
      </c>
      <c r="D34" s="3">
        <v>0.0</v>
      </c>
    </row>
    <row r="35">
      <c r="A35" s="3" t="s">
        <v>117</v>
      </c>
      <c r="B35" s="3" t="s">
        <v>74</v>
      </c>
      <c r="C35" s="3">
        <v>0.0</v>
      </c>
      <c r="D35" s="3">
        <v>0.0</v>
      </c>
    </row>
    <row r="36">
      <c r="A36" s="3" t="s">
        <v>117</v>
      </c>
      <c r="B36" s="3" t="s">
        <v>79</v>
      </c>
      <c r="C36" s="3">
        <v>0.0</v>
      </c>
      <c r="D36" s="3">
        <v>0.0</v>
      </c>
    </row>
    <row r="37">
      <c r="A37" s="3" t="s">
        <v>117</v>
      </c>
      <c r="B37" s="3" t="s">
        <v>62</v>
      </c>
      <c r="C37" s="3">
        <v>0.0</v>
      </c>
      <c r="D37" s="3">
        <v>0.0</v>
      </c>
    </row>
    <row r="38">
      <c r="A38" s="3" t="s">
        <v>117</v>
      </c>
      <c r="B38" s="3" t="s">
        <v>30</v>
      </c>
      <c r="C38" s="3">
        <v>0.0</v>
      </c>
      <c r="D38" s="3">
        <v>0.0</v>
      </c>
    </row>
    <row r="39">
      <c r="A39" s="3" t="s">
        <v>117</v>
      </c>
      <c r="B39" s="3" t="s">
        <v>71</v>
      </c>
      <c r="C39" s="3">
        <v>0.0</v>
      </c>
      <c r="D39" s="3">
        <v>0.0</v>
      </c>
    </row>
    <row r="40">
      <c r="A40" s="3" t="s">
        <v>117</v>
      </c>
      <c r="B40" s="3" t="s">
        <v>51</v>
      </c>
      <c r="C40" s="3">
        <v>0.0</v>
      </c>
      <c r="D40" s="3">
        <v>0.0</v>
      </c>
    </row>
    <row r="41">
      <c r="A41" s="3" t="s">
        <v>117</v>
      </c>
      <c r="B41" s="3" t="s">
        <v>37</v>
      </c>
      <c r="C41" s="3">
        <v>0.0</v>
      </c>
      <c r="D41" s="3">
        <v>0.0</v>
      </c>
    </row>
    <row r="42">
      <c r="A42" s="3" t="s">
        <v>117</v>
      </c>
      <c r="B42" s="3" t="s">
        <v>68</v>
      </c>
      <c r="C42" s="3">
        <v>0.0</v>
      </c>
      <c r="D42" s="3">
        <v>0.0</v>
      </c>
    </row>
    <row r="43">
      <c r="A43" s="3" t="s">
        <v>117</v>
      </c>
      <c r="B43" s="3" t="s">
        <v>106</v>
      </c>
      <c r="C43" s="3">
        <v>0.0</v>
      </c>
      <c r="D43" s="3">
        <v>0.0</v>
      </c>
    </row>
    <row r="44">
      <c r="A44" s="3" t="s">
        <v>117</v>
      </c>
      <c r="B44" s="3" t="s">
        <v>128</v>
      </c>
      <c r="C44" s="3">
        <v>0.0</v>
      </c>
      <c r="D44" s="3">
        <v>0.0</v>
      </c>
    </row>
    <row r="45">
      <c r="A45" s="3" t="s">
        <v>117</v>
      </c>
      <c r="B45" s="3" t="s">
        <v>47</v>
      </c>
      <c r="C45" s="3">
        <v>0.0</v>
      </c>
      <c r="D45" s="3">
        <v>0.0</v>
      </c>
    </row>
    <row r="46">
      <c r="A46" s="3" t="s">
        <v>117</v>
      </c>
      <c r="B46" s="3" t="s">
        <v>60</v>
      </c>
      <c r="C46" s="3">
        <v>0.0</v>
      </c>
      <c r="D46" s="3">
        <v>0.0</v>
      </c>
    </row>
    <row r="47">
      <c r="A47" s="3" t="s">
        <v>117</v>
      </c>
      <c r="B47" s="3" t="s">
        <v>100</v>
      </c>
      <c r="C47" s="3">
        <v>0.0</v>
      </c>
      <c r="D47" s="3">
        <v>0.0</v>
      </c>
    </row>
    <row r="48">
      <c r="A48" s="3" t="s">
        <v>117</v>
      </c>
      <c r="B48" s="3" t="s">
        <v>40</v>
      </c>
      <c r="C48" s="3">
        <v>0.0</v>
      </c>
      <c r="D48" s="3">
        <v>0.0</v>
      </c>
    </row>
    <row r="49">
      <c r="A49" s="3" t="s">
        <v>117</v>
      </c>
      <c r="B49" s="3" t="s">
        <v>55</v>
      </c>
      <c r="C49" s="3">
        <v>0.0</v>
      </c>
      <c r="D49" s="3">
        <v>0.0</v>
      </c>
    </row>
    <row r="50">
      <c r="A50" s="3"/>
      <c r="B50" s="3"/>
      <c r="C50" s="8"/>
      <c r="D50" s="3"/>
    </row>
    <row r="51">
      <c r="A51" s="8"/>
      <c r="B51" s="8"/>
      <c r="C51" s="8"/>
      <c r="D51" s="8"/>
    </row>
    <row r="52">
      <c r="A52" s="8"/>
      <c r="B52" s="8"/>
      <c r="C52" s="8"/>
      <c r="D52" s="8"/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4.25"/>
    <col customWidth="1" min="3" max="3" width="5.0"/>
    <col customWidth="1" min="4" max="4" width="6.13"/>
  </cols>
  <sheetData>
    <row r="1">
      <c r="A1" s="1" t="s">
        <v>0</v>
      </c>
      <c r="B1" s="1" t="s">
        <v>1</v>
      </c>
      <c r="C1" s="1" t="s">
        <v>129</v>
      </c>
      <c r="D1" s="1" t="s">
        <v>2</v>
      </c>
      <c r="E1" s="1" t="s">
        <v>109</v>
      </c>
    </row>
    <row r="2">
      <c r="A2" s="3">
        <v>1.0</v>
      </c>
      <c r="B2" s="3" t="s">
        <v>36</v>
      </c>
      <c r="C2" s="16">
        <v>5.0</v>
      </c>
      <c r="D2" s="3">
        <v>73.0</v>
      </c>
      <c r="E2" s="3">
        <v>25.0</v>
      </c>
    </row>
    <row r="3">
      <c r="A3" s="3">
        <v>2.0</v>
      </c>
      <c r="B3" s="3" t="s">
        <v>30</v>
      </c>
      <c r="C3" s="16">
        <v>4.0</v>
      </c>
      <c r="D3" s="3">
        <v>109.0</v>
      </c>
      <c r="E3" s="3">
        <v>20.0</v>
      </c>
    </row>
    <row r="4">
      <c r="A4" s="3">
        <v>3.0</v>
      </c>
      <c r="B4" s="3" t="s">
        <v>53</v>
      </c>
      <c r="C4" s="16">
        <v>4.0</v>
      </c>
      <c r="D4" s="3">
        <v>100.0</v>
      </c>
      <c r="E4" s="3">
        <v>15.0</v>
      </c>
    </row>
    <row r="5">
      <c r="A5" s="3">
        <v>4.0</v>
      </c>
      <c r="B5" s="3" t="s">
        <v>60</v>
      </c>
      <c r="C5" s="16">
        <v>4.0</v>
      </c>
      <c r="D5" s="3">
        <v>65.0</v>
      </c>
      <c r="E5" s="3">
        <v>12.0</v>
      </c>
    </row>
    <row r="6">
      <c r="A6" s="3">
        <v>5.0</v>
      </c>
      <c r="B6" s="3" t="s">
        <v>78</v>
      </c>
      <c r="C6" s="16">
        <v>4.0</v>
      </c>
      <c r="D6" s="3">
        <v>49.0</v>
      </c>
      <c r="E6" s="3">
        <v>11.0</v>
      </c>
    </row>
    <row r="7">
      <c r="A7" s="3">
        <v>6.0</v>
      </c>
      <c r="B7" s="3" t="s">
        <v>47</v>
      </c>
      <c r="C7" s="16">
        <v>3.0</v>
      </c>
      <c r="D7" s="3">
        <v>94.0</v>
      </c>
      <c r="E7" s="3">
        <v>10.0</v>
      </c>
    </row>
    <row r="8">
      <c r="A8" s="3">
        <v>7.0</v>
      </c>
      <c r="B8" s="3" t="s">
        <v>67</v>
      </c>
      <c r="C8" s="16">
        <v>3.0</v>
      </c>
      <c r="D8" s="3">
        <v>79.0</v>
      </c>
      <c r="E8" s="3">
        <v>9.0</v>
      </c>
    </row>
    <row r="9">
      <c r="A9" s="3">
        <v>8.0</v>
      </c>
      <c r="B9" s="3" t="s">
        <v>56</v>
      </c>
      <c r="C9" s="16">
        <v>3.0</v>
      </c>
      <c r="D9" s="3">
        <v>74.0</v>
      </c>
      <c r="E9" s="3">
        <v>8.0</v>
      </c>
    </row>
    <row r="10">
      <c r="A10" s="3">
        <v>9.0</v>
      </c>
      <c r="B10" s="3" t="s">
        <v>43</v>
      </c>
      <c r="C10" s="16">
        <v>3.0</v>
      </c>
      <c r="D10" s="3">
        <v>70.0</v>
      </c>
      <c r="E10" s="3">
        <v>7.0</v>
      </c>
    </row>
    <row r="11">
      <c r="A11" s="3">
        <v>10.0</v>
      </c>
      <c r="B11" s="3" t="s">
        <v>34</v>
      </c>
      <c r="C11" s="16">
        <v>3.0</v>
      </c>
      <c r="D11" s="3">
        <v>60.0</v>
      </c>
      <c r="E11" s="3">
        <v>6.0</v>
      </c>
    </row>
    <row r="12">
      <c r="A12" s="3">
        <v>11.0</v>
      </c>
      <c r="B12" s="3" t="s">
        <v>71</v>
      </c>
      <c r="C12" s="16">
        <v>3.0</v>
      </c>
      <c r="D12" s="3">
        <v>54.0</v>
      </c>
      <c r="E12" s="3">
        <v>5.0</v>
      </c>
    </row>
    <row r="13">
      <c r="A13" s="3">
        <v>12.0</v>
      </c>
      <c r="B13" s="3" t="s">
        <v>40</v>
      </c>
      <c r="C13" s="16">
        <v>3.0</v>
      </c>
      <c r="D13" s="3">
        <v>45.0</v>
      </c>
      <c r="E13" s="3">
        <v>4.0</v>
      </c>
    </row>
    <row r="14">
      <c r="A14" s="3">
        <v>13.0</v>
      </c>
      <c r="B14" s="3" t="s">
        <v>32</v>
      </c>
      <c r="C14" s="16">
        <v>3.0</v>
      </c>
      <c r="D14" s="3">
        <v>40.0</v>
      </c>
      <c r="E14" s="3">
        <v>3.0</v>
      </c>
    </row>
    <row r="15">
      <c r="A15" s="3">
        <v>14.0</v>
      </c>
      <c r="B15" s="3" t="s">
        <v>35</v>
      </c>
      <c r="C15" s="16">
        <v>3.0</v>
      </c>
      <c r="D15" s="3">
        <v>37.0</v>
      </c>
      <c r="E15" s="3">
        <v>3.0</v>
      </c>
    </row>
    <row r="16">
      <c r="A16" s="3">
        <v>15.0</v>
      </c>
      <c r="B16" s="3" t="s">
        <v>59</v>
      </c>
      <c r="C16" s="16">
        <v>3.0</v>
      </c>
      <c r="D16" s="3">
        <v>26.0</v>
      </c>
      <c r="E16" s="3">
        <v>3.0</v>
      </c>
    </row>
    <row r="17">
      <c r="A17" s="3">
        <v>16.0</v>
      </c>
      <c r="B17" s="3" t="s">
        <v>55</v>
      </c>
      <c r="C17" s="16">
        <v>3.0</v>
      </c>
      <c r="D17" s="3">
        <v>24.0</v>
      </c>
      <c r="E17" s="3">
        <v>3.0</v>
      </c>
    </row>
    <row r="18">
      <c r="A18" s="3">
        <v>17.0</v>
      </c>
      <c r="B18" s="3" t="s">
        <v>51</v>
      </c>
      <c r="C18" s="16">
        <v>3.0</v>
      </c>
      <c r="D18" s="3">
        <v>13.0</v>
      </c>
      <c r="E18" s="3">
        <v>3.0</v>
      </c>
    </row>
    <row r="19">
      <c r="A19" s="3">
        <v>18.0</v>
      </c>
      <c r="B19" s="3" t="s">
        <v>28</v>
      </c>
      <c r="C19" s="16">
        <v>2.0</v>
      </c>
      <c r="D19" s="3">
        <v>76.0</v>
      </c>
      <c r="E19" s="3">
        <v>2.0</v>
      </c>
    </row>
    <row r="20">
      <c r="A20" s="3">
        <v>19.0</v>
      </c>
      <c r="B20" s="3" t="s">
        <v>42</v>
      </c>
      <c r="C20" s="16">
        <v>2.0</v>
      </c>
      <c r="D20" s="3">
        <v>45.0</v>
      </c>
      <c r="E20" s="3">
        <v>2.0</v>
      </c>
    </row>
    <row r="21">
      <c r="A21" s="3">
        <v>20.0</v>
      </c>
      <c r="B21" s="3" t="s">
        <v>86</v>
      </c>
      <c r="C21" s="16">
        <v>2.0</v>
      </c>
      <c r="D21" s="3">
        <v>37.0</v>
      </c>
      <c r="E21" s="3">
        <v>2.0</v>
      </c>
    </row>
    <row r="22">
      <c r="A22" s="3">
        <v>21.0</v>
      </c>
      <c r="B22" s="3" t="s">
        <v>37</v>
      </c>
      <c r="C22" s="16">
        <v>2.0</v>
      </c>
      <c r="D22" s="3">
        <v>32.0</v>
      </c>
      <c r="E22" s="3">
        <v>2.0</v>
      </c>
    </row>
    <row r="23">
      <c r="A23" s="3">
        <v>22.0</v>
      </c>
      <c r="B23" s="3" t="s">
        <v>120</v>
      </c>
      <c r="C23" s="16">
        <v>2.0</v>
      </c>
      <c r="D23" s="3">
        <v>28.0</v>
      </c>
      <c r="E23" s="3">
        <v>2.0</v>
      </c>
    </row>
    <row r="24">
      <c r="A24" s="3">
        <v>23.0</v>
      </c>
      <c r="B24" s="3" t="s">
        <v>58</v>
      </c>
      <c r="C24" s="16">
        <v>2.0</v>
      </c>
      <c r="D24" s="3">
        <v>26.0</v>
      </c>
      <c r="E24" s="3">
        <v>1.0</v>
      </c>
    </row>
    <row r="25">
      <c r="A25" s="3">
        <v>24.0</v>
      </c>
      <c r="B25" s="3" t="s">
        <v>26</v>
      </c>
      <c r="C25" s="16">
        <v>2.0</v>
      </c>
      <c r="D25" s="3">
        <v>22.0</v>
      </c>
      <c r="E25" s="3">
        <v>1.0</v>
      </c>
    </row>
    <row r="26">
      <c r="A26" s="3" t="s">
        <v>130</v>
      </c>
      <c r="B26" s="3" t="s">
        <v>24</v>
      </c>
      <c r="C26" s="16">
        <v>2.0</v>
      </c>
      <c r="D26" s="3">
        <v>20.0</v>
      </c>
      <c r="E26" s="3">
        <v>1.0</v>
      </c>
    </row>
    <row r="27">
      <c r="A27" s="3" t="s">
        <v>130</v>
      </c>
      <c r="B27" s="3" t="s">
        <v>68</v>
      </c>
      <c r="C27" s="16">
        <v>2.0</v>
      </c>
      <c r="D27" s="3">
        <v>20.0</v>
      </c>
      <c r="E27" s="3">
        <v>1.0</v>
      </c>
    </row>
    <row r="28">
      <c r="A28" s="3">
        <v>27.0</v>
      </c>
      <c r="B28" s="3" t="s">
        <v>45</v>
      </c>
      <c r="C28" s="16">
        <v>1.0</v>
      </c>
      <c r="D28" s="3">
        <v>37.0</v>
      </c>
      <c r="E28" s="3">
        <v>1.0</v>
      </c>
    </row>
    <row r="29">
      <c r="A29" s="3">
        <v>28.0</v>
      </c>
      <c r="B29" s="3" t="s">
        <v>22</v>
      </c>
      <c r="C29" s="16">
        <v>1.0</v>
      </c>
      <c r="D29" s="3">
        <v>27.0</v>
      </c>
      <c r="E29" s="3">
        <v>0.0</v>
      </c>
    </row>
    <row r="30">
      <c r="A30" s="3">
        <v>29.0</v>
      </c>
      <c r="B30" s="3" t="s">
        <v>81</v>
      </c>
      <c r="C30" s="16">
        <v>1.0</v>
      </c>
      <c r="D30" s="3">
        <v>24.0</v>
      </c>
      <c r="E30" s="3">
        <v>0.0</v>
      </c>
    </row>
    <row r="31">
      <c r="A31" s="3">
        <v>30.0</v>
      </c>
      <c r="B31" s="3" t="s">
        <v>108</v>
      </c>
      <c r="C31" s="16">
        <v>1.0</v>
      </c>
      <c r="D31" s="3">
        <v>21.0</v>
      </c>
      <c r="E31" s="3">
        <v>0.0</v>
      </c>
    </row>
    <row r="32">
      <c r="A32" s="3">
        <v>31.0</v>
      </c>
      <c r="B32" s="3" t="s">
        <v>93</v>
      </c>
      <c r="C32" s="16">
        <v>1.0</v>
      </c>
      <c r="D32" s="3">
        <v>3.0</v>
      </c>
      <c r="E32" s="3">
        <v>0.0</v>
      </c>
    </row>
    <row r="33">
      <c r="A33" s="3">
        <v>32.0</v>
      </c>
      <c r="B33" s="3" t="s">
        <v>65</v>
      </c>
      <c r="C33" s="16">
        <v>0.0</v>
      </c>
      <c r="D33" s="3">
        <v>0.0</v>
      </c>
      <c r="E33" s="3">
        <v>-5.0</v>
      </c>
    </row>
    <row r="34">
      <c r="A34" s="8"/>
      <c r="B34" s="8"/>
      <c r="C34" s="17"/>
      <c r="D34" s="8"/>
      <c r="E34" s="8"/>
    </row>
    <row r="35">
      <c r="A35" s="8"/>
      <c r="B35" s="8"/>
      <c r="C35" s="17"/>
      <c r="D35" s="8"/>
      <c r="E35" s="8"/>
    </row>
    <row r="36">
      <c r="A36" s="8"/>
      <c r="B36" s="8"/>
      <c r="C36" s="17"/>
      <c r="D36" s="8"/>
      <c r="E36" s="8"/>
    </row>
    <row r="37">
      <c r="A37" s="8"/>
      <c r="B37" s="8"/>
      <c r="C37" s="17"/>
      <c r="D37" s="8"/>
      <c r="E37" s="8"/>
    </row>
    <row r="38">
      <c r="A38" s="8"/>
      <c r="B38" s="8"/>
      <c r="C38" s="17"/>
      <c r="D38" s="8"/>
      <c r="E38" s="8"/>
    </row>
    <row r="39">
      <c r="A39" s="8"/>
      <c r="B39" s="8"/>
      <c r="C39" s="17"/>
      <c r="D39" s="8"/>
      <c r="E39" s="8"/>
    </row>
    <row r="40">
      <c r="A40" s="8"/>
      <c r="B40" s="8"/>
      <c r="C40" s="17"/>
      <c r="D40" s="8"/>
      <c r="E40" s="8"/>
    </row>
    <row r="41">
      <c r="A41" s="8"/>
      <c r="B41" s="8"/>
      <c r="C41" s="17"/>
      <c r="D41" s="8"/>
      <c r="E41" s="8"/>
    </row>
    <row r="42">
      <c r="A42" s="8"/>
      <c r="B42" s="8"/>
      <c r="C42" s="17"/>
      <c r="D42" s="8"/>
      <c r="E42" s="8"/>
    </row>
    <row r="43">
      <c r="A43" s="8"/>
      <c r="B43" s="8"/>
      <c r="C43" s="17"/>
      <c r="D43" s="8"/>
      <c r="E43" s="8"/>
    </row>
    <row r="44">
      <c r="A44" s="8"/>
      <c r="B44" s="8"/>
      <c r="C44" s="17"/>
      <c r="D44" s="8"/>
      <c r="E44" s="8"/>
    </row>
    <row r="45">
      <c r="A45" s="8"/>
      <c r="B45" s="8"/>
      <c r="C45" s="17"/>
      <c r="D45" s="8"/>
      <c r="E45" s="8"/>
    </row>
    <row r="46">
      <c r="A46" s="8"/>
      <c r="B46" s="8"/>
      <c r="C46" s="17"/>
      <c r="D46" s="8"/>
      <c r="E46" s="8"/>
    </row>
    <row r="47">
      <c r="A47" s="8"/>
      <c r="B47" s="8"/>
      <c r="C47" s="17"/>
      <c r="D47" s="8"/>
      <c r="E47" s="8"/>
    </row>
    <row r="48">
      <c r="A48" s="8"/>
      <c r="B48" s="8"/>
      <c r="C48" s="17"/>
      <c r="D48" s="8"/>
      <c r="E48" s="8"/>
    </row>
    <row r="49">
      <c r="A49" s="8"/>
      <c r="B49" s="8"/>
      <c r="C49" s="17"/>
      <c r="D49" s="8"/>
      <c r="E49" s="8"/>
    </row>
    <row r="50">
      <c r="A50" s="8"/>
      <c r="B50" s="8"/>
      <c r="C50" s="17"/>
      <c r="D50" s="8"/>
      <c r="E50" s="8"/>
    </row>
    <row r="51">
      <c r="C51" s="18"/>
    </row>
    <row r="52">
      <c r="C52" s="18"/>
    </row>
    <row r="53">
      <c r="C53" s="18"/>
    </row>
    <row r="54">
      <c r="C54" s="18"/>
    </row>
    <row r="55">
      <c r="C55" s="18"/>
    </row>
    <row r="56">
      <c r="C56" s="18"/>
    </row>
    <row r="57">
      <c r="C57" s="18"/>
    </row>
    <row r="58">
      <c r="C58" s="18"/>
    </row>
    <row r="59">
      <c r="C59" s="18"/>
    </row>
    <row r="60">
      <c r="C60" s="18"/>
    </row>
    <row r="61">
      <c r="C61" s="18"/>
    </row>
    <row r="62">
      <c r="C62" s="18"/>
    </row>
    <row r="63">
      <c r="C63" s="18"/>
    </row>
    <row r="64">
      <c r="C64" s="18"/>
    </row>
    <row r="65">
      <c r="C65" s="18"/>
    </row>
    <row r="66">
      <c r="C66" s="18"/>
    </row>
    <row r="67">
      <c r="C67" s="18"/>
    </row>
    <row r="68">
      <c r="C68" s="18"/>
    </row>
    <row r="69">
      <c r="C69" s="18"/>
    </row>
    <row r="70">
      <c r="C70" s="18"/>
    </row>
    <row r="71">
      <c r="C71" s="18"/>
    </row>
    <row r="72">
      <c r="C72" s="18"/>
    </row>
    <row r="73">
      <c r="C73" s="18"/>
    </row>
    <row r="74">
      <c r="C74" s="18"/>
    </row>
    <row r="75">
      <c r="C75" s="18"/>
    </row>
    <row r="76">
      <c r="C76" s="18"/>
    </row>
    <row r="77">
      <c r="C77" s="18"/>
    </row>
    <row r="78">
      <c r="C78" s="18"/>
    </row>
    <row r="79">
      <c r="C79" s="18"/>
    </row>
    <row r="80">
      <c r="C80" s="18"/>
    </row>
    <row r="81">
      <c r="C81" s="18"/>
    </row>
    <row r="82">
      <c r="C82" s="18"/>
    </row>
    <row r="83">
      <c r="C83" s="18"/>
    </row>
    <row r="84">
      <c r="C84" s="18"/>
    </row>
    <row r="85">
      <c r="C85" s="18"/>
    </row>
    <row r="86">
      <c r="C86" s="18"/>
    </row>
    <row r="87">
      <c r="C87" s="18"/>
    </row>
    <row r="88">
      <c r="C88" s="18"/>
    </row>
    <row r="89">
      <c r="C89" s="18"/>
    </row>
    <row r="90">
      <c r="C90" s="18"/>
    </row>
    <row r="91">
      <c r="C91" s="18"/>
    </row>
    <row r="92">
      <c r="C92" s="18"/>
    </row>
    <row r="93">
      <c r="C93" s="18"/>
    </row>
    <row r="94">
      <c r="C94" s="18"/>
    </row>
    <row r="95">
      <c r="C95" s="18"/>
    </row>
    <row r="96">
      <c r="C96" s="18"/>
    </row>
    <row r="97">
      <c r="C97" s="18"/>
    </row>
    <row r="98">
      <c r="C98" s="18"/>
    </row>
    <row r="99">
      <c r="C99" s="18"/>
    </row>
    <row r="100">
      <c r="C100" s="18"/>
    </row>
    <row r="101">
      <c r="C101" s="18"/>
    </row>
    <row r="102">
      <c r="C102" s="18"/>
    </row>
    <row r="103">
      <c r="C103" s="18"/>
    </row>
    <row r="104">
      <c r="C104" s="18"/>
    </row>
    <row r="105">
      <c r="C105" s="18"/>
    </row>
    <row r="106">
      <c r="C106" s="18"/>
    </row>
    <row r="107">
      <c r="C107" s="18"/>
    </row>
    <row r="108">
      <c r="C108" s="18"/>
    </row>
    <row r="109">
      <c r="C109" s="18"/>
    </row>
    <row r="110">
      <c r="C110" s="18"/>
    </row>
    <row r="111">
      <c r="C111" s="18"/>
    </row>
    <row r="112">
      <c r="C112" s="18"/>
    </row>
    <row r="113">
      <c r="C113" s="18"/>
    </row>
    <row r="114">
      <c r="C114" s="18"/>
    </row>
    <row r="115">
      <c r="C115" s="18"/>
    </row>
    <row r="116">
      <c r="C116" s="18"/>
    </row>
    <row r="117">
      <c r="C117" s="18"/>
    </row>
    <row r="118">
      <c r="C118" s="18"/>
    </row>
    <row r="119">
      <c r="C119" s="18"/>
    </row>
    <row r="120">
      <c r="C120" s="18"/>
    </row>
    <row r="121">
      <c r="C121" s="18"/>
    </row>
    <row r="122">
      <c r="C122" s="18"/>
    </row>
    <row r="123">
      <c r="C123" s="18"/>
    </row>
    <row r="124">
      <c r="C124" s="18"/>
    </row>
    <row r="125">
      <c r="C125" s="18"/>
    </row>
    <row r="126">
      <c r="C126" s="18"/>
    </row>
    <row r="127">
      <c r="C127" s="18"/>
    </row>
    <row r="128">
      <c r="C128" s="18"/>
    </row>
    <row r="129">
      <c r="C129" s="18"/>
    </row>
    <row r="130">
      <c r="C130" s="18"/>
    </row>
    <row r="131">
      <c r="C131" s="18"/>
    </row>
    <row r="132">
      <c r="C132" s="18"/>
    </row>
    <row r="133">
      <c r="C133" s="18"/>
    </row>
    <row r="134">
      <c r="C134" s="18"/>
    </row>
    <row r="135">
      <c r="C135" s="18"/>
    </row>
    <row r="136">
      <c r="C136" s="18"/>
    </row>
    <row r="137">
      <c r="C137" s="18"/>
    </row>
    <row r="138">
      <c r="C138" s="18"/>
    </row>
    <row r="139">
      <c r="C139" s="18"/>
    </row>
    <row r="140">
      <c r="C140" s="18"/>
    </row>
    <row r="141">
      <c r="C141" s="18"/>
    </row>
    <row r="142">
      <c r="C142" s="18"/>
    </row>
    <row r="143">
      <c r="C143" s="18"/>
    </row>
    <row r="144">
      <c r="C144" s="18"/>
    </row>
    <row r="145">
      <c r="C145" s="18"/>
    </row>
    <row r="146">
      <c r="C146" s="18"/>
    </row>
    <row r="147">
      <c r="C147" s="18"/>
    </row>
    <row r="148">
      <c r="C148" s="18"/>
    </row>
    <row r="149">
      <c r="C149" s="18"/>
    </row>
    <row r="150">
      <c r="C150" s="18"/>
    </row>
    <row r="151">
      <c r="C151" s="18"/>
    </row>
    <row r="152">
      <c r="C152" s="18"/>
    </row>
    <row r="153">
      <c r="C153" s="18"/>
    </row>
    <row r="154">
      <c r="C154" s="18"/>
    </row>
    <row r="155">
      <c r="C155" s="18"/>
    </row>
    <row r="156">
      <c r="C156" s="18"/>
    </row>
    <row r="157">
      <c r="C157" s="18"/>
    </row>
    <row r="158">
      <c r="C158" s="18"/>
    </row>
    <row r="159">
      <c r="C159" s="18"/>
    </row>
    <row r="160">
      <c r="C160" s="18"/>
    </row>
    <row r="161">
      <c r="C161" s="18"/>
    </row>
    <row r="162">
      <c r="C162" s="18"/>
    </row>
    <row r="163">
      <c r="C163" s="18"/>
    </row>
    <row r="164">
      <c r="C164" s="18"/>
    </row>
    <row r="165">
      <c r="C165" s="18"/>
    </row>
    <row r="166">
      <c r="C166" s="18"/>
    </row>
    <row r="167">
      <c r="C167" s="18"/>
    </row>
    <row r="168">
      <c r="C168" s="18"/>
    </row>
    <row r="169">
      <c r="C169" s="18"/>
    </row>
    <row r="170">
      <c r="C170" s="18"/>
    </row>
    <row r="171">
      <c r="C171" s="18"/>
    </row>
    <row r="172">
      <c r="C172" s="18"/>
    </row>
    <row r="173">
      <c r="C173" s="18"/>
    </row>
    <row r="174">
      <c r="C174" s="18"/>
    </row>
    <row r="175">
      <c r="C175" s="18"/>
    </row>
    <row r="176">
      <c r="C176" s="18"/>
    </row>
    <row r="177">
      <c r="C177" s="18"/>
    </row>
    <row r="178">
      <c r="C178" s="18"/>
    </row>
    <row r="179">
      <c r="C179" s="18"/>
    </row>
    <row r="180">
      <c r="C180" s="18"/>
    </row>
    <row r="181">
      <c r="C181" s="18"/>
    </row>
    <row r="182">
      <c r="C182" s="18"/>
    </row>
    <row r="183">
      <c r="C183" s="18"/>
    </row>
    <row r="184">
      <c r="C184" s="18"/>
    </row>
    <row r="185">
      <c r="C185" s="18"/>
    </row>
    <row r="186">
      <c r="C186" s="18"/>
    </row>
    <row r="187">
      <c r="C187" s="18"/>
    </row>
    <row r="188">
      <c r="C188" s="18"/>
    </row>
    <row r="189">
      <c r="C189" s="18"/>
    </row>
    <row r="190">
      <c r="C190" s="18"/>
    </row>
    <row r="191">
      <c r="C191" s="18"/>
    </row>
    <row r="192">
      <c r="C192" s="18"/>
    </row>
    <row r="193">
      <c r="C193" s="18"/>
    </row>
    <row r="194">
      <c r="C194" s="18"/>
    </row>
    <row r="195">
      <c r="C195" s="18"/>
    </row>
    <row r="196">
      <c r="C196" s="18"/>
    </row>
    <row r="197">
      <c r="C197" s="18"/>
    </row>
    <row r="198">
      <c r="C198" s="18"/>
    </row>
    <row r="199">
      <c r="C199" s="18"/>
    </row>
    <row r="200">
      <c r="C200" s="18"/>
    </row>
    <row r="201">
      <c r="C201" s="18"/>
    </row>
    <row r="202">
      <c r="C202" s="18"/>
    </row>
    <row r="203">
      <c r="C203" s="18"/>
    </row>
    <row r="204">
      <c r="C204" s="18"/>
    </row>
    <row r="205">
      <c r="C205" s="18"/>
    </row>
    <row r="206">
      <c r="C206" s="18"/>
    </row>
    <row r="207">
      <c r="C207" s="18"/>
    </row>
    <row r="208">
      <c r="C208" s="18"/>
    </row>
    <row r="209">
      <c r="C209" s="18"/>
    </row>
    <row r="210">
      <c r="C210" s="18"/>
    </row>
    <row r="211">
      <c r="C211" s="18"/>
    </row>
    <row r="212">
      <c r="C212" s="18"/>
    </row>
    <row r="213">
      <c r="C213" s="18"/>
    </row>
    <row r="214">
      <c r="C214" s="18"/>
    </row>
    <row r="215">
      <c r="C215" s="18"/>
    </row>
    <row r="216">
      <c r="C216" s="18"/>
    </row>
    <row r="217">
      <c r="C217" s="18"/>
    </row>
    <row r="218">
      <c r="C218" s="18"/>
    </row>
    <row r="219">
      <c r="C219" s="18"/>
    </row>
    <row r="220">
      <c r="C220" s="18"/>
    </row>
    <row r="221">
      <c r="C221" s="18"/>
    </row>
    <row r="222">
      <c r="C222" s="18"/>
    </row>
    <row r="223">
      <c r="C223" s="18"/>
    </row>
    <row r="224">
      <c r="C224" s="18"/>
    </row>
    <row r="225">
      <c r="C225" s="18"/>
    </row>
    <row r="226">
      <c r="C226" s="18"/>
    </row>
    <row r="227">
      <c r="C227" s="18"/>
    </row>
    <row r="228">
      <c r="C228" s="18"/>
    </row>
    <row r="229">
      <c r="C229" s="18"/>
    </row>
    <row r="230">
      <c r="C230" s="18"/>
    </row>
    <row r="231">
      <c r="C231" s="18"/>
    </row>
    <row r="232">
      <c r="C232" s="18"/>
    </row>
    <row r="233">
      <c r="C233" s="18"/>
    </row>
    <row r="234">
      <c r="C234" s="18"/>
    </row>
    <row r="235">
      <c r="C235" s="18"/>
    </row>
    <row r="236">
      <c r="C236" s="18"/>
    </row>
    <row r="237">
      <c r="C237" s="18"/>
    </row>
    <row r="238">
      <c r="C238" s="18"/>
    </row>
    <row r="239">
      <c r="C239" s="18"/>
    </row>
    <row r="240">
      <c r="C240" s="18"/>
    </row>
    <row r="241">
      <c r="C241" s="18"/>
    </row>
    <row r="242">
      <c r="C242" s="18"/>
    </row>
    <row r="243">
      <c r="C243" s="18"/>
    </row>
    <row r="244">
      <c r="C244" s="18"/>
    </row>
    <row r="245">
      <c r="C245" s="18"/>
    </row>
    <row r="246">
      <c r="C246" s="18"/>
    </row>
    <row r="247">
      <c r="C247" s="18"/>
    </row>
    <row r="248">
      <c r="C248" s="18"/>
    </row>
    <row r="249">
      <c r="C249" s="18"/>
    </row>
    <row r="250">
      <c r="C250" s="18"/>
    </row>
    <row r="251">
      <c r="C251" s="18"/>
    </row>
    <row r="252">
      <c r="C252" s="18"/>
    </row>
    <row r="253">
      <c r="C253" s="18"/>
    </row>
    <row r="254">
      <c r="C254" s="18"/>
    </row>
    <row r="255">
      <c r="C255" s="18"/>
    </row>
    <row r="256">
      <c r="C256" s="18"/>
    </row>
    <row r="257">
      <c r="C257" s="18"/>
    </row>
    <row r="258">
      <c r="C258" s="18"/>
    </row>
    <row r="259">
      <c r="C259" s="18"/>
    </row>
    <row r="260">
      <c r="C260" s="18"/>
    </row>
    <row r="261">
      <c r="C261" s="18"/>
    </row>
    <row r="262">
      <c r="C262" s="18"/>
    </row>
    <row r="263">
      <c r="C263" s="18"/>
    </row>
    <row r="264">
      <c r="C264" s="18"/>
    </row>
    <row r="265">
      <c r="C265" s="18"/>
    </row>
    <row r="266">
      <c r="C266" s="18"/>
    </row>
    <row r="267">
      <c r="C267" s="18"/>
    </row>
    <row r="268">
      <c r="C268" s="18"/>
    </row>
    <row r="269">
      <c r="C269" s="18"/>
    </row>
    <row r="270">
      <c r="C270" s="18"/>
    </row>
    <row r="271">
      <c r="C271" s="18"/>
    </row>
    <row r="272">
      <c r="C272" s="18"/>
    </row>
    <row r="273">
      <c r="C273" s="18"/>
    </row>
    <row r="274">
      <c r="C274" s="18"/>
    </row>
    <row r="275">
      <c r="C275" s="18"/>
    </row>
    <row r="276">
      <c r="C276" s="18"/>
    </row>
    <row r="277">
      <c r="C277" s="18"/>
    </row>
    <row r="278">
      <c r="C278" s="18"/>
    </row>
    <row r="279">
      <c r="C279" s="18"/>
    </row>
    <row r="280">
      <c r="C280" s="18"/>
    </row>
    <row r="281">
      <c r="C281" s="18"/>
    </row>
    <row r="282">
      <c r="C282" s="18"/>
    </row>
    <row r="283">
      <c r="C283" s="18"/>
    </row>
    <row r="284">
      <c r="C284" s="18"/>
    </row>
    <row r="285">
      <c r="C285" s="18"/>
    </row>
    <row r="286">
      <c r="C286" s="18"/>
    </row>
    <row r="287">
      <c r="C287" s="18"/>
    </row>
    <row r="288">
      <c r="C288" s="18"/>
    </row>
    <row r="289">
      <c r="C289" s="18"/>
    </row>
    <row r="290">
      <c r="C290" s="18"/>
    </row>
    <row r="291">
      <c r="C291" s="18"/>
    </row>
    <row r="292">
      <c r="C292" s="18"/>
    </row>
    <row r="293">
      <c r="C293" s="18"/>
    </row>
    <row r="294">
      <c r="C294" s="18"/>
    </row>
    <row r="295">
      <c r="C295" s="18"/>
    </row>
    <row r="296">
      <c r="C296" s="18"/>
    </row>
    <row r="297">
      <c r="C297" s="18"/>
    </row>
    <row r="298">
      <c r="C298" s="18"/>
    </row>
    <row r="299">
      <c r="C299" s="18"/>
    </row>
    <row r="300">
      <c r="C300" s="18"/>
    </row>
    <row r="301">
      <c r="C301" s="18"/>
    </row>
    <row r="302">
      <c r="C302" s="18"/>
    </row>
    <row r="303">
      <c r="C303" s="18"/>
    </row>
    <row r="304">
      <c r="C304" s="18"/>
    </row>
    <row r="305">
      <c r="C305" s="18"/>
    </row>
    <row r="306">
      <c r="C306" s="18"/>
    </row>
    <row r="307">
      <c r="C307" s="18"/>
    </row>
    <row r="308">
      <c r="C308" s="18"/>
    </row>
    <row r="309">
      <c r="C309" s="18"/>
    </row>
    <row r="310">
      <c r="C310" s="18"/>
    </row>
    <row r="311">
      <c r="C311" s="18"/>
    </row>
    <row r="312">
      <c r="C312" s="18"/>
    </row>
    <row r="313">
      <c r="C313" s="18"/>
    </row>
    <row r="314">
      <c r="C314" s="18"/>
    </row>
    <row r="315">
      <c r="C315" s="18"/>
    </row>
    <row r="316">
      <c r="C316" s="18"/>
    </row>
    <row r="317">
      <c r="C317" s="18"/>
    </row>
    <row r="318">
      <c r="C318" s="18"/>
    </row>
    <row r="319">
      <c r="C319" s="18"/>
    </row>
    <row r="320">
      <c r="C320" s="18"/>
    </row>
    <row r="321">
      <c r="C321" s="18"/>
    </row>
    <row r="322">
      <c r="C322" s="18"/>
    </row>
    <row r="323">
      <c r="C323" s="18"/>
    </row>
    <row r="324">
      <c r="C324" s="18"/>
    </row>
    <row r="325">
      <c r="C325" s="18"/>
    </row>
    <row r="326">
      <c r="C326" s="18"/>
    </row>
    <row r="327">
      <c r="C327" s="18"/>
    </row>
    <row r="328">
      <c r="C328" s="18"/>
    </row>
    <row r="329">
      <c r="C329" s="18"/>
    </row>
    <row r="330">
      <c r="C330" s="18"/>
    </row>
    <row r="331">
      <c r="C331" s="18"/>
    </row>
    <row r="332">
      <c r="C332" s="18"/>
    </row>
    <row r="333">
      <c r="C333" s="18"/>
    </row>
    <row r="334">
      <c r="C334" s="18"/>
    </row>
    <row r="335">
      <c r="C335" s="18"/>
    </row>
    <row r="336">
      <c r="C336" s="18"/>
    </row>
    <row r="337">
      <c r="C337" s="18"/>
    </row>
    <row r="338">
      <c r="C338" s="18"/>
    </row>
    <row r="339">
      <c r="C339" s="18"/>
    </row>
    <row r="340">
      <c r="C340" s="18"/>
    </row>
    <row r="341">
      <c r="C341" s="18"/>
    </row>
    <row r="342">
      <c r="C342" s="18"/>
    </row>
    <row r="343">
      <c r="C343" s="18"/>
    </row>
    <row r="344">
      <c r="C344" s="18"/>
    </row>
    <row r="345">
      <c r="C345" s="18"/>
    </row>
    <row r="346">
      <c r="C346" s="18"/>
    </row>
    <row r="347">
      <c r="C347" s="18"/>
    </row>
    <row r="348">
      <c r="C348" s="18"/>
    </row>
    <row r="349">
      <c r="C349" s="18"/>
    </row>
    <row r="350">
      <c r="C350" s="18"/>
    </row>
    <row r="351">
      <c r="C351" s="18"/>
    </row>
    <row r="352">
      <c r="C352" s="18"/>
    </row>
    <row r="353">
      <c r="C353" s="18"/>
    </row>
    <row r="354">
      <c r="C354" s="18"/>
    </row>
    <row r="355">
      <c r="C355" s="18"/>
    </row>
    <row r="356">
      <c r="C356" s="18"/>
    </row>
    <row r="357">
      <c r="C357" s="18"/>
    </row>
    <row r="358">
      <c r="C358" s="18"/>
    </row>
    <row r="359">
      <c r="C359" s="18"/>
    </row>
    <row r="360">
      <c r="C360" s="18"/>
    </row>
    <row r="361">
      <c r="C361" s="18"/>
    </row>
    <row r="362">
      <c r="C362" s="18"/>
    </row>
    <row r="363">
      <c r="C363" s="18"/>
    </row>
    <row r="364">
      <c r="C364" s="18"/>
    </row>
    <row r="365">
      <c r="C365" s="18"/>
    </row>
    <row r="366">
      <c r="C366" s="18"/>
    </row>
    <row r="367">
      <c r="C367" s="18"/>
    </row>
    <row r="368">
      <c r="C368" s="18"/>
    </row>
    <row r="369">
      <c r="C369" s="18"/>
    </row>
    <row r="370">
      <c r="C370" s="18"/>
    </row>
    <row r="371">
      <c r="C371" s="18"/>
    </row>
    <row r="372">
      <c r="C372" s="18"/>
    </row>
    <row r="373">
      <c r="C373" s="18"/>
    </row>
    <row r="374">
      <c r="C374" s="18"/>
    </row>
    <row r="375">
      <c r="C375" s="18"/>
    </row>
    <row r="376">
      <c r="C376" s="18"/>
    </row>
    <row r="377">
      <c r="C377" s="18"/>
    </row>
    <row r="378">
      <c r="C378" s="18"/>
    </row>
    <row r="379">
      <c r="C379" s="18"/>
    </row>
    <row r="380">
      <c r="C380" s="18"/>
    </row>
    <row r="381">
      <c r="C381" s="18"/>
    </row>
    <row r="382">
      <c r="C382" s="18"/>
    </row>
    <row r="383">
      <c r="C383" s="18"/>
    </row>
    <row r="384">
      <c r="C384" s="18"/>
    </row>
    <row r="385">
      <c r="C385" s="18"/>
    </row>
    <row r="386">
      <c r="C386" s="18"/>
    </row>
    <row r="387">
      <c r="C387" s="18"/>
    </row>
    <row r="388">
      <c r="C388" s="18"/>
    </row>
    <row r="389">
      <c r="C389" s="18"/>
    </row>
    <row r="390">
      <c r="C390" s="18"/>
    </row>
    <row r="391">
      <c r="C391" s="18"/>
    </row>
    <row r="392">
      <c r="C392" s="18"/>
    </row>
    <row r="393">
      <c r="C393" s="18"/>
    </row>
    <row r="394">
      <c r="C394" s="18"/>
    </row>
    <row r="395">
      <c r="C395" s="18"/>
    </row>
    <row r="396">
      <c r="C396" s="18"/>
    </row>
    <row r="397">
      <c r="C397" s="18"/>
    </row>
    <row r="398">
      <c r="C398" s="18"/>
    </row>
    <row r="399">
      <c r="C399" s="18"/>
    </row>
    <row r="400">
      <c r="C400" s="18"/>
    </row>
    <row r="401">
      <c r="C401" s="18"/>
    </row>
    <row r="402">
      <c r="C402" s="18"/>
    </row>
    <row r="403">
      <c r="C403" s="18"/>
    </row>
    <row r="404">
      <c r="C404" s="18"/>
    </row>
    <row r="405">
      <c r="C405" s="18"/>
    </row>
    <row r="406">
      <c r="C406" s="18"/>
    </row>
    <row r="407">
      <c r="C407" s="18"/>
    </row>
    <row r="408">
      <c r="C408" s="18"/>
    </row>
    <row r="409">
      <c r="C409" s="18"/>
    </row>
    <row r="410">
      <c r="C410" s="18"/>
    </row>
    <row r="411">
      <c r="C411" s="18"/>
    </row>
    <row r="412">
      <c r="C412" s="18"/>
    </row>
    <row r="413">
      <c r="C413" s="18"/>
    </row>
    <row r="414">
      <c r="C414" s="18"/>
    </row>
    <row r="415">
      <c r="C415" s="18"/>
    </row>
    <row r="416">
      <c r="C416" s="18"/>
    </row>
    <row r="417">
      <c r="C417" s="18"/>
    </row>
    <row r="418">
      <c r="C418" s="18"/>
    </row>
    <row r="419">
      <c r="C419" s="18"/>
    </row>
    <row r="420">
      <c r="C420" s="18"/>
    </row>
    <row r="421">
      <c r="C421" s="18"/>
    </row>
    <row r="422">
      <c r="C422" s="18"/>
    </row>
    <row r="423">
      <c r="C423" s="18"/>
    </row>
    <row r="424">
      <c r="C424" s="18"/>
    </row>
    <row r="425">
      <c r="C425" s="18"/>
    </row>
    <row r="426">
      <c r="C426" s="18"/>
    </row>
    <row r="427">
      <c r="C427" s="18"/>
    </row>
    <row r="428">
      <c r="C428" s="18"/>
    </row>
    <row r="429">
      <c r="C429" s="18"/>
    </row>
    <row r="430">
      <c r="C430" s="18"/>
    </row>
    <row r="431">
      <c r="C431" s="18"/>
    </row>
    <row r="432">
      <c r="C432" s="18"/>
    </row>
    <row r="433">
      <c r="C433" s="18"/>
    </row>
    <row r="434">
      <c r="C434" s="18"/>
    </row>
    <row r="435">
      <c r="C435" s="18"/>
    </row>
    <row r="436">
      <c r="C436" s="18"/>
    </row>
    <row r="437">
      <c r="C437" s="18"/>
    </row>
    <row r="438">
      <c r="C438" s="18"/>
    </row>
    <row r="439">
      <c r="C439" s="18"/>
    </row>
    <row r="440">
      <c r="C440" s="18"/>
    </row>
    <row r="441">
      <c r="C441" s="18"/>
    </row>
    <row r="442">
      <c r="C442" s="18"/>
    </row>
    <row r="443">
      <c r="C443" s="18"/>
    </row>
    <row r="444">
      <c r="C444" s="18"/>
    </row>
    <row r="445">
      <c r="C445" s="18"/>
    </row>
    <row r="446">
      <c r="C446" s="18"/>
    </row>
    <row r="447">
      <c r="C447" s="18"/>
    </row>
    <row r="448">
      <c r="C448" s="18"/>
    </row>
    <row r="449">
      <c r="C449" s="18"/>
    </row>
    <row r="450">
      <c r="C450" s="18"/>
    </row>
    <row r="451">
      <c r="C451" s="18"/>
    </row>
    <row r="452">
      <c r="C452" s="18"/>
    </row>
    <row r="453">
      <c r="C453" s="18"/>
    </row>
    <row r="454">
      <c r="C454" s="18"/>
    </row>
    <row r="455">
      <c r="C455" s="18"/>
    </row>
    <row r="456">
      <c r="C456" s="18"/>
    </row>
    <row r="457">
      <c r="C457" s="18"/>
    </row>
    <row r="458">
      <c r="C458" s="18"/>
    </row>
    <row r="459">
      <c r="C459" s="18"/>
    </row>
    <row r="460">
      <c r="C460" s="18"/>
    </row>
    <row r="461">
      <c r="C461" s="18"/>
    </row>
    <row r="462">
      <c r="C462" s="18"/>
    </row>
    <row r="463">
      <c r="C463" s="18"/>
    </row>
    <row r="464">
      <c r="C464" s="18"/>
    </row>
    <row r="465">
      <c r="C465" s="18"/>
    </row>
    <row r="466">
      <c r="C466" s="18"/>
    </row>
    <row r="467">
      <c r="C467" s="18"/>
    </row>
    <row r="468">
      <c r="C468" s="18"/>
    </row>
    <row r="469">
      <c r="C469" s="18"/>
    </row>
    <row r="470">
      <c r="C470" s="18"/>
    </row>
    <row r="471">
      <c r="C471" s="18"/>
    </row>
    <row r="472">
      <c r="C472" s="18"/>
    </row>
    <row r="473">
      <c r="C473" s="18"/>
    </row>
    <row r="474">
      <c r="C474" s="18"/>
    </row>
    <row r="475">
      <c r="C475" s="18"/>
    </row>
    <row r="476">
      <c r="C476" s="18"/>
    </row>
    <row r="477">
      <c r="C477" s="18"/>
    </row>
    <row r="478">
      <c r="C478" s="18"/>
    </row>
    <row r="479">
      <c r="C479" s="18"/>
    </row>
    <row r="480">
      <c r="C480" s="18"/>
    </row>
    <row r="481">
      <c r="C481" s="18"/>
    </row>
    <row r="482">
      <c r="C482" s="18"/>
    </row>
    <row r="483">
      <c r="C483" s="18"/>
    </row>
    <row r="484">
      <c r="C484" s="18"/>
    </row>
    <row r="485">
      <c r="C485" s="18"/>
    </row>
    <row r="486">
      <c r="C486" s="18"/>
    </row>
    <row r="487">
      <c r="C487" s="18"/>
    </row>
    <row r="488">
      <c r="C488" s="18"/>
    </row>
    <row r="489">
      <c r="C489" s="18"/>
    </row>
    <row r="490">
      <c r="C490" s="18"/>
    </row>
    <row r="491">
      <c r="C491" s="18"/>
    </row>
    <row r="492">
      <c r="C492" s="18"/>
    </row>
    <row r="493">
      <c r="C493" s="18"/>
    </row>
    <row r="494">
      <c r="C494" s="18"/>
    </row>
    <row r="495">
      <c r="C495" s="18"/>
    </row>
    <row r="496">
      <c r="C496" s="18"/>
    </row>
    <row r="497">
      <c r="C497" s="18"/>
    </row>
    <row r="498">
      <c r="C498" s="18"/>
    </row>
    <row r="499">
      <c r="C499" s="18"/>
    </row>
    <row r="500">
      <c r="C500" s="18"/>
    </row>
    <row r="501">
      <c r="C501" s="18"/>
    </row>
    <row r="502">
      <c r="C502" s="18"/>
    </row>
    <row r="503">
      <c r="C503" s="18"/>
    </row>
    <row r="504">
      <c r="C504" s="18"/>
    </row>
    <row r="505">
      <c r="C505" s="18"/>
    </row>
    <row r="506">
      <c r="C506" s="18"/>
    </row>
    <row r="507">
      <c r="C507" s="18"/>
    </row>
    <row r="508">
      <c r="C508" s="18"/>
    </row>
    <row r="509">
      <c r="C509" s="18"/>
    </row>
    <row r="510">
      <c r="C510" s="18"/>
    </row>
    <row r="511">
      <c r="C511" s="18"/>
    </row>
    <row r="512">
      <c r="C512" s="18"/>
    </row>
    <row r="513">
      <c r="C513" s="18"/>
    </row>
    <row r="514">
      <c r="C514" s="18"/>
    </row>
    <row r="515">
      <c r="C515" s="18"/>
    </row>
    <row r="516">
      <c r="C516" s="18"/>
    </row>
    <row r="517">
      <c r="C517" s="18"/>
    </row>
    <row r="518">
      <c r="C518" s="18"/>
    </row>
    <row r="519">
      <c r="C519" s="18"/>
    </row>
    <row r="520">
      <c r="C520" s="18"/>
    </row>
    <row r="521">
      <c r="C521" s="18"/>
    </row>
    <row r="522">
      <c r="C522" s="18"/>
    </row>
    <row r="523">
      <c r="C523" s="18"/>
    </row>
    <row r="524">
      <c r="C524" s="18"/>
    </row>
    <row r="525">
      <c r="C525" s="18"/>
    </row>
    <row r="526">
      <c r="C526" s="18"/>
    </row>
    <row r="527">
      <c r="C527" s="18"/>
    </row>
    <row r="528">
      <c r="C528" s="18"/>
    </row>
    <row r="529">
      <c r="C529" s="18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  <row r="992">
      <c r="C992" s="18"/>
    </row>
    <row r="993">
      <c r="C993" s="18"/>
    </row>
    <row r="994">
      <c r="C994" s="18"/>
    </row>
    <row r="995">
      <c r="C995" s="18"/>
    </row>
    <row r="996">
      <c r="C996" s="18"/>
    </row>
    <row r="997">
      <c r="C997" s="18"/>
    </row>
    <row r="998">
      <c r="C998" s="18"/>
    </row>
    <row r="999">
      <c r="C999" s="18"/>
    </row>
    <row r="1000">
      <c r="C1000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4.0"/>
  </cols>
  <sheetData>
    <row r="1">
      <c r="A1" s="1" t="s">
        <v>0</v>
      </c>
      <c r="B1" s="1" t="s">
        <v>1</v>
      </c>
      <c r="C1" s="1" t="s">
        <v>125</v>
      </c>
      <c r="D1" s="1" t="s">
        <v>109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>
        <v>1.0</v>
      </c>
      <c r="B2" s="3" t="s">
        <v>22</v>
      </c>
      <c r="C2" s="3">
        <v>5.0</v>
      </c>
      <c r="D2" s="3">
        <v>15.0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>
        <v>1.0</v>
      </c>
      <c r="B3" s="3" t="s">
        <v>40</v>
      </c>
      <c r="C3" s="3">
        <v>5.0</v>
      </c>
      <c r="D3" s="3">
        <v>15.0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>
        <v>1.0</v>
      </c>
      <c r="B4" s="3" t="s">
        <v>28</v>
      </c>
      <c r="C4" s="3">
        <v>5.0</v>
      </c>
      <c r="D4" s="3">
        <v>15.0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>
        <v>1.0</v>
      </c>
      <c r="B5" s="3" t="s">
        <v>34</v>
      </c>
      <c r="C5" s="3">
        <v>5.0</v>
      </c>
      <c r="D5" s="3">
        <v>15.0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>
        <v>2.0</v>
      </c>
      <c r="B6" s="3" t="s">
        <v>20</v>
      </c>
      <c r="C6" s="3">
        <v>4.0</v>
      </c>
      <c r="D6" s="3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">
        <v>2.0</v>
      </c>
      <c r="B7" s="3" t="s">
        <v>32</v>
      </c>
      <c r="C7" s="3">
        <v>4.0</v>
      </c>
      <c r="D7" s="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>
        <v>2.0</v>
      </c>
      <c r="B8" s="3" t="s">
        <v>51</v>
      </c>
      <c r="C8" s="3">
        <v>4.0</v>
      </c>
      <c r="D8" s="3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>
        <v>2.0</v>
      </c>
      <c r="B9" s="3" t="s">
        <v>53</v>
      </c>
      <c r="C9" s="3">
        <v>4.0</v>
      </c>
      <c r="D9" s="3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>
        <v>3.0</v>
      </c>
      <c r="B10" s="3" t="s">
        <v>68</v>
      </c>
      <c r="C10" s="3">
        <v>3.0</v>
      </c>
      <c r="D10" s="3">
        <v>5.0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>
        <v>3.0</v>
      </c>
      <c r="B11" s="3" t="s">
        <v>36</v>
      </c>
      <c r="C11" s="3">
        <v>3.0</v>
      </c>
      <c r="D11" s="3">
        <v>5.0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>
        <v>3.0</v>
      </c>
      <c r="B12" s="3" t="s">
        <v>81</v>
      </c>
      <c r="C12" s="3">
        <v>3.0</v>
      </c>
      <c r="D12" s="3">
        <v>5.0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>
        <v>3.0</v>
      </c>
      <c r="B13" s="3" t="s">
        <v>47</v>
      </c>
      <c r="C13" s="3">
        <v>3.0</v>
      </c>
      <c r="D13" s="3">
        <v>5.0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>
        <v>4.0</v>
      </c>
      <c r="B14" s="3" t="s">
        <v>65</v>
      </c>
      <c r="C14" s="3">
        <v>2.0</v>
      </c>
      <c r="D14" s="3">
        <v>2.0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>
        <v>4.0</v>
      </c>
      <c r="B15" s="3" t="s">
        <v>120</v>
      </c>
      <c r="C15" s="3">
        <v>2.0</v>
      </c>
      <c r="D15" s="3">
        <v>2.0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>
        <v>4.0</v>
      </c>
      <c r="B16" s="3" t="s">
        <v>45</v>
      </c>
      <c r="C16" s="3">
        <v>2.0</v>
      </c>
      <c r="D16" s="3">
        <v>2.0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>
        <v>4.0</v>
      </c>
      <c r="B17" s="3" t="s">
        <v>42</v>
      </c>
      <c r="C17" s="3">
        <v>2.0</v>
      </c>
      <c r="D17" s="3">
        <v>2.0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>
        <v>5.0</v>
      </c>
      <c r="B18" s="3" t="s">
        <v>56</v>
      </c>
      <c r="C18" s="3">
        <v>0.0</v>
      </c>
      <c r="D18" s="3">
        <v>0.0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">
        <v>5.0</v>
      </c>
      <c r="B19" s="3" t="s">
        <v>24</v>
      </c>
      <c r="C19" s="3">
        <v>0.0</v>
      </c>
      <c r="D19" s="3">
        <v>0.0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>
        <v>5.0</v>
      </c>
      <c r="B20" s="3" t="s">
        <v>60</v>
      </c>
      <c r="C20" s="3">
        <v>0.0</v>
      </c>
      <c r="D20" s="3">
        <v>0.0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">
        <v>5.0</v>
      </c>
      <c r="B21" s="3" t="s">
        <v>37</v>
      </c>
      <c r="C21" s="3">
        <v>0.0</v>
      </c>
      <c r="D21" s="3">
        <v>0.0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0.63"/>
    <col customWidth="1" min="4" max="4" width="8.88"/>
  </cols>
  <sheetData>
    <row r="1">
      <c r="A1" s="1" t="s">
        <v>0</v>
      </c>
      <c r="B1" s="1" t="s">
        <v>1</v>
      </c>
      <c r="C1" s="1" t="s">
        <v>125</v>
      </c>
      <c r="D1" s="1" t="s">
        <v>109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>
        <v>1.0</v>
      </c>
      <c r="B2" s="3" t="s">
        <v>62</v>
      </c>
      <c r="C2" s="3">
        <v>4.0</v>
      </c>
      <c r="D2" s="3">
        <v>25.0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>
        <v>1.0</v>
      </c>
      <c r="B3" s="3" t="s">
        <v>32</v>
      </c>
      <c r="C3" s="3">
        <v>4.0</v>
      </c>
      <c r="D3" s="3">
        <v>25.0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>
        <v>1.0</v>
      </c>
      <c r="B4" s="3" t="s">
        <v>47</v>
      </c>
      <c r="C4" s="3">
        <v>4.0</v>
      </c>
      <c r="D4" s="3">
        <v>25.0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>
        <v>2.0</v>
      </c>
      <c r="B5" s="3" t="s">
        <v>51</v>
      </c>
      <c r="C5" s="3">
        <v>3.0</v>
      </c>
      <c r="D5" s="3">
        <v>20.0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>
        <v>2.0</v>
      </c>
      <c r="B6" s="3" t="s">
        <v>37</v>
      </c>
      <c r="C6" s="3">
        <v>3.0</v>
      </c>
      <c r="D6" s="3">
        <v>20.0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">
        <v>2.0</v>
      </c>
      <c r="B7" s="3" t="s">
        <v>45</v>
      </c>
      <c r="C7" s="3">
        <v>3.0</v>
      </c>
      <c r="D7" s="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>
        <v>3.0</v>
      </c>
      <c r="B8" s="3" t="s">
        <v>42</v>
      </c>
      <c r="C8" s="3">
        <v>2.0</v>
      </c>
      <c r="D8" s="3">
        <v>15.0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>
        <v>3.0</v>
      </c>
      <c r="B9" s="3" t="s">
        <v>63</v>
      </c>
      <c r="C9" s="3">
        <v>2.0</v>
      </c>
      <c r="D9" s="3">
        <v>15.0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>
        <v>3.0</v>
      </c>
      <c r="B10" s="3" t="s">
        <v>28</v>
      </c>
      <c r="C10" s="3">
        <v>2.0</v>
      </c>
      <c r="D10" s="3">
        <v>15.0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>
        <v>4.0</v>
      </c>
      <c r="B11" s="3" t="s">
        <v>131</v>
      </c>
      <c r="C11" s="3">
        <v>3.0</v>
      </c>
      <c r="D11" s="3">
        <v>12.0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>
        <v>4.0</v>
      </c>
      <c r="B12" s="3" t="s">
        <v>34</v>
      </c>
      <c r="C12" s="3">
        <v>3.0</v>
      </c>
      <c r="D12" s="3">
        <v>12.0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>
        <v>4.0</v>
      </c>
      <c r="B13" s="3" t="s">
        <v>20</v>
      </c>
      <c r="C13" s="3">
        <v>3.0</v>
      </c>
      <c r="D13" s="3">
        <v>12.0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>
        <v>5.0</v>
      </c>
      <c r="B14" s="3" t="s">
        <v>35</v>
      </c>
      <c r="C14" s="3">
        <v>2.0</v>
      </c>
      <c r="D14" s="3">
        <v>8.0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>
        <v>5.0</v>
      </c>
      <c r="B15" s="3" t="s">
        <v>22</v>
      </c>
      <c r="C15" s="3">
        <v>2.0</v>
      </c>
      <c r="D15" s="3">
        <v>8.0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>
        <v>5.0</v>
      </c>
      <c r="B16" s="3" t="s">
        <v>31</v>
      </c>
      <c r="C16" s="3">
        <v>2.0</v>
      </c>
      <c r="D16" s="3">
        <v>8.0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>
        <v>6.0</v>
      </c>
      <c r="B17" s="3" t="s">
        <v>30</v>
      </c>
      <c r="C17" s="3">
        <v>2.0</v>
      </c>
      <c r="D17" s="3">
        <v>6.0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>
        <v>6.0</v>
      </c>
      <c r="B18" s="3" t="s">
        <v>96</v>
      </c>
      <c r="C18" s="3">
        <v>2.0</v>
      </c>
      <c r="D18" s="3">
        <v>6.0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">
        <v>6.0</v>
      </c>
      <c r="B19" s="3" t="s">
        <v>88</v>
      </c>
      <c r="C19" s="3">
        <v>2.0</v>
      </c>
      <c r="D19" s="3">
        <v>6.0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 t="s">
        <v>127</v>
      </c>
      <c r="B20" s="3" t="s">
        <v>52</v>
      </c>
      <c r="C20" s="3">
        <v>0.0</v>
      </c>
      <c r="D20" s="3">
        <v>0.0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" t="s">
        <v>127</v>
      </c>
      <c r="B21" s="3" t="s">
        <v>68</v>
      </c>
      <c r="C21" s="3">
        <v>0.0</v>
      </c>
      <c r="D21" s="3">
        <v>0.0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" t="s">
        <v>127</v>
      </c>
      <c r="B22" s="3" t="s">
        <v>74</v>
      </c>
      <c r="C22" s="3">
        <v>0.0</v>
      </c>
      <c r="D22" s="3">
        <v>0.0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" t="s">
        <v>127</v>
      </c>
      <c r="B23" s="3" t="s">
        <v>56</v>
      </c>
      <c r="C23" s="3">
        <v>0.0</v>
      </c>
      <c r="D23" s="3">
        <v>0.0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3" t="s">
        <v>127</v>
      </c>
      <c r="B24" s="3" t="s">
        <v>26</v>
      </c>
      <c r="C24" s="3">
        <v>0.0</v>
      </c>
      <c r="D24" s="3">
        <v>0.0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3" t="s">
        <v>127</v>
      </c>
      <c r="B25" s="3" t="s">
        <v>86</v>
      </c>
      <c r="C25" s="3">
        <v>0.0</v>
      </c>
      <c r="D25" s="3">
        <v>0.0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" t="s">
        <v>127</v>
      </c>
      <c r="B26" s="3" t="s">
        <v>59</v>
      </c>
      <c r="C26" s="3">
        <v>0.0</v>
      </c>
      <c r="D26" s="3">
        <v>0.0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" t="s">
        <v>127</v>
      </c>
      <c r="B27" s="3" t="s">
        <v>53</v>
      </c>
      <c r="C27" s="3">
        <v>0.0</v>
      </c>
      <c r="D27" s="3">
        <v>0.0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3" t="s">
        <v>127</v>
      </c>
      <c r="B28" s="3" t="s">
        <v>67</v>
      </c>
      <c r="C28" s="3">
        <v>0.0</v>
      </c>
      <c r="D28" s="3">
        <v>0.0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3" t="s">
        <v>127</v>
      </c>
      <c r="B29" s="3" t="s">
        <v>60</v>
      </c>
      <c r="C29" s="3">
        <v>0.0</v>
      </c>
      <c r="D29" s="3">
        <v>0.0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3" t="s">
        <v>127</v>
      </c>
      <c r="B30" s="3" t="s">
        <v>55</v>
      </c>
      <c r="C30" s="3">
        <v>0.0</v>
      </c>
      <c r="D30" s="3">
        <v>0.0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" t="s">
        <v>127</v>
      </c>
      <c r="B31" s="3" t="s">
        <v>99</v>
      </c>
      <c r="C31" s="3">
        <v>0.0</v>
      </c>
      <c r="D31" s="3">
        <v>0.0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3" t="s">
        <v>127</v>
      </c>
      <c r="B32" s="3" t="s">
        <v>65</v>
      </c>
      <c r="C32" s="3">
        <v>0.0</v>
      </c>
      <c r="D32" s="3">
        <v>0.0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3" t="s">
        <v>127</v>
      </c>
      <c r="B33" s="3" t="s">
        <v>48</v>
      </c>
      <c r="C33" s="3">
        <v>0.0</v>
      </c>
      <c r="D33" s="3">
        <v>0.0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3" t="s">
        <v>127</v>
      </c>
      <c r="B34" s="3" t="s">
        <v>39</v>
      </c>
      <c r="C34" s="3">
        <v>0.0</v>
      </c>
      <c r="D34" s="3">
        <v>0.0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3" t="s">
        <v>127</v>
      </c>
      <c r="B35" s="3" t="s">
        <v>100</v>
      </c>
      <c r="C35" s="3">
        <v>0.0</v>
      </c>
      <c r="D35" s="3">
        <v>0.0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" t="s">
        <v>127</v>
      </c>
      <c r="B36" s="3" t="s">
        <v>58</v>
      </c>
      <c r="C36" s="3">
        <v>0.0</v>
      </c>
      <c r="D36" s="3">
        <v>0.0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3" t="s">
        <v>127</v>
      </c>
      <c r="B37" s="3" t="s">
        <v>24</v>
      </c>
      <c r="C37" s="3">
        <v>0.0</v>
      </c>
      <c r="D37" s="3">
        <v>0.0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3" t="s">
        <v>127</v>
      </c>
      <c r="B38" s="3" t="s">
        <v>108</v>
      </c>
      <c r="C38" s="3">
        <v>0.0</v>
      </c>
      <c r="D38" s="3">
        <v>0.0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3" t="s">
        <v>127</v>
      </c>
      <c r="B39" s="3" t="s">
        <v>69</v>
      </c>
      <c r="C39" s="3">
        <v>0.0</v>
      </c>
      <c r="D39" s="3">
        <v>0.0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3" t="s">
        <v>127</v>
      </c>
      <c r="B40" s="3" t="s">
        <v>40</v>
      </c>
      <c r="C40" s="3">
        <v>0.0</v>
      </c>
      <c r="D40" s="3">
        <v>0.0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3"/>
      <c r="B41" s="8"/>
      <c r="C41" s="8"/>
      <c r="D41" s="3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3"/>
      <c r="B42" s="8"/>
      <c r="C42" s="8"/>
      <c r="D42" s="3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3"/>
      <c r="B43" s="8"/>
      <c r="C43" s="8"/>
      <c r="D43" s="3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5.63"/>
    <col customWidth="1" min="4" max="4" width="8.88"/>
  </cols>
  <sheetData>
    <row r="1">
      <c r="A1" s="1" t="s">
        <v>0</v>
      </c>
      <c r="B1" s="1" t="s">
        <v>1</v>
      </c>
      <c r="C1" s="1" t="s">
        <v>132</v>
      </c>
      <c r="D1" s="1" t="s">
        <v>109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>
        <v>1.0</v>
      </c>
      <c r="B2" s="3" t="s">
        <v>38</v>
      </c>
      <c r="C2" s="3">
        <v>33.0</v>
      </c>
      <c r="D2" s="3">
        <v>25.0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>
        <v>1.0</v>
      </c>
      <c r="B3" s="3" t="s">
        <v>20</v>
      </c>
      <c r="C3" s="3">
        <v>33.0</v>
      </c>
      <c r="D3" s="3">
        <v>25.0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>
        <v>1.0</v>
      </c>
      <c r="B4" s="3" t="s">
        <v>22</v>
      </c>
      <c r="C4" s="3">
        <v>33.0</v>
      </c>
      <c r="D4" s="3">
        <v>25.0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>
        <v>1.0</v>
      </c>
      <c r="B5" s="3" t="s">
        <v>42</v>
      </c>
      <c r="C5" s="3">
        <v>33.0</v>
      </c>
      <c r="D5" s="3">
        <v>25.0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>
        <v>2.0</v>
      </c>
      <c r="B6" s="3" t="s">
        <v>30</v>
      </c>
      <c r="C6" s="3">
        <v>34.0</v>
      </c>
      <c r="D6" s="3">
        <v>20.0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">
        <v>2.0</v>
      </c>
      <c r="B7" s="3" t="s">
        <v>36</v>
      </c>
      <c r="C7" s="3">
        <v>34.0</v>
      </c>
      <c r="D7" s="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>
        <v>2.0</v>
      </c>
      <c r="B8" s="3" t="s">
        <v>74</v>
      </c>
      <c r="C8" s="3">
        <v>34.0</v>
      </c>
      <c r="D8" s="3">
        <v>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>
        <v>2.0</v>
      </c>
      <c r="B9" s="3" t="s">
        <v>44</v>
      </c>
      <c r="C9" s="3">
        <v>34.0</v>
      </c>
      <c r="D9" s="3">
        <v>20.0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>
        <v>3.0</v>
      </c>
      <c r="B10" s="3" t="s">
        <v>49</v>
      </c>
      <c r="C10" s="3">
        <v>34.0</v>
      </c>
      <c r="D10" s="3">
        <v>15.0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>
        <v>3.0</v>
      </c>
      <c r="B11" s="3" t="s">
        <v>57</v>
      </c>
      <c r="C11" s="3">
        <v>34.0</v>
      </c>
      <c r="D11" s="3">
        <v>15.0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>
        <v>3.0</v>
      </c>
      <c r="B12" s="3" t="s">
        <v>128</v>
      </c>
      <c r="C12" s="3">
        <v>34.0</v>
      </c>
      <c r="D12" s="3">
        <v>15.0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>
        <v>3.0</v>
      </c>
      <c r="B13" s="3" t="s">
        <v>28</v>
      </c>
      <c r="C13" s="3">
        <v>34.0</v>
      </c>
      <c r="D13" s="3">
        <v>15.0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 t="s">
        <v>126</v>
      </c>
      <c r="B14" s="3" t="s">
        <v>24</v>
      </c>
      <c r="C14" s="3">
        <v>35.0</v>
      </c>
      <c r="D14" s="3">
        <v>10.0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 t="s">
        <v>126</v>
      </c>
      <c r="B15" s="3" t="s">
        <v>90</v>
      </c>
      <c r="C15" s="3">
        <v>35.0</v>
      </c>
      <c r="D15" s="3">
        <v>10.0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 t="s">
        <v>126</v>
      </c>
      <c r="B16" s="3" t="s">
        <v>69</v>
      </c>
      <c r="C16" s="3">
        <v>35.0</v>
      </c>
      <c r="D16" s="3">
        <v>10.0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 t="s">
        <v>126</v>
      </c>
      <c r="B17" s="3" t="s">
        <v>35</v>
      </c>
      <c r="C17" s="3">
        <v>35.0</v>
      </c>
      <c r="D17" s="3">
        <v>10.0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 t="s">
        <v>126</v>
      </c>
      <c r="B18" s="3" t="s">
        <v>48</v>
      </c>
      <c r="C18" s="3">
        <v>35.0</v>
      </c>
      <c r="D18" s="3">
        <v>10.0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" t="s">
        <v>126</v>
      </c>
      <c r="B19" s="3" t="s">
        <v>82</v>
      </c>
      <c r="C19" s="3">
        <v>35.0</v>
      </c>
      <c r="D19" s="3">
        <v>10.0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 t="s">
        <v>126</v>
      </c>
      <c r="B20" s="3" t="s">
        <v>37</v>
      </c>
      <c r="C20" s="3">
        <v>35.0</v>
      </c>
      <c r="D20" s="3">
        <v>10.0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" t="s">
        <v>126</v>
      </c>
      <c r="B21" s="3" t="s">
        <v>91</v>
      </c>
      <c r="C21" s="3">
        <v>35.0</v>
      </c>
      <c r="D21" s="3">
        <v>10.0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" t="s">
        <v>111</v>
      </c>
      <c r="B22" s="3" t="s">
        <v>95</v>
      </c>
      <c r="C22" s="3">
        <v>36.0</v>
      </c>
      <c r="D22" s="3">
        <v>2.0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" t="s">
        <v>111</v>
      </c>
      <c r="B23" s="3" t="s">
        <v>32</v>
      </c>
      <c r="C23" s="3">
        <v>36.0</v>
      </c>
      <c r="D23" s="3">
        <v>2.0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3" t="s">
        <v>111</v>
      </c>
      <c r="B24" s="3" t="s">
        <v>26</v>
      </c>
      <c r="C24" s="3">
        <v>36.0</v>
      </c>
      <c r="D24" s="3">
        <v>2.0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3" t="s">
        <v>111</v>
      </c>
      <c r="B25" s="3" t="s">
        <v>53</v>
      </c>
      <c r="C25" s="3">
        <v>36.0</v>
      </c>
      <c r="D25" s="3">
        <v>2.0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" t="s">
        <v>111</v>
      </c>
      <c r="B26" s="3" t="s">
        <v>76</v>
      </c>
      <c r="C26" s="3">
        <v>36.0</v>
      </c>
      <c r="D26" s="3">
        <v>2.0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" t="s">
        <v>111</v>
      </c>
      <c r="B27" s="3" t="s">
        <v>86</v>
      </c>
      <c r="C27" s="3">
        <v>36.0</v>
      </c>
      <c r="D27" s="3">
        <v>2.0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3" t="s">
        <v>111</v>
      </c>
      <c r="B28" s="3" t="s">
        <v>58</v>
      </c>
      <c r="C28" s="3">
        <v>36.0</v>
      </c>
      <c r="D28" s="3">
        <v>2.0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3" t="s">
        <v>111</v>
      </c>
      <c r="B29" s="3" t="s">
        <v>60</v>
      </c>
      <c r="C29" s="3">
        <v>36.0</v>
      </c>
      <c r="D29" s="3">
        <v>2.0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3">
        <v>8.0</v>
      </c>
      <c r="B30" s="3" t="s">
        <v>84</v>
      </c>
      <c r="C30" s="3">
        <v>38.0</v>
      </c>
      <c r="D30" s="3">
        <v>0.0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">
        <v>8.0</v>
      </c>
      <c r="B31" s="3" t="s">
        <v>45</v>
      </c>
      <c r="C31" s="3">
        <v>38.0</v>
      </c>
      <c r="D31" s="3">
        <v>0.0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3">
        <v>8.0</v>
      </c>
      <c r="B32" s="3" t="s">
        <v>64</v>
      </c>
      <c r="C32" s="3">
        <v>38.0</v>
      </c>
      <c r="D32" s="3">
        <v>0.0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3">
        <v>8.0</v>
      </c>
      <c r="B33" s="3" t="s">
        <v>31</v>
      </c>
      <c r="C33" s="3">
        <v>38.0</v>
      </c>
      <c r="D33" s="3">
        <v>0.0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1" t="s">
        <v>0</v>
      </c>
      <c r="B1" s="1" t="s">
        <v>1</v>
      </c>
      <c r="C1" s="1" t="s">
        <v>125</v>
      </c>
      <c r="D1" s="1" t="s">
        <v>109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>
        <v>1.0</v>
      </c>
      <c r="B2" s="3" t="s">
        <v>44</v>
      </c>
      <c r="C2" s="3">
        <v>5.0</v>
      </c>
      <c r="D2" s="3">
        <v>25.0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>
        <v>2.0</v>
      </c>
      <c r="B3" s="3" t="s">
        <v>24</v>
      </c>
      <c r="C3" s="3">
        <v>4.0</v>
      </c>
      <c r="D3" s="3">
        <v>20.0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>
        <v>3.0</v>
      </c>
      <c r="B4" s="3" t="s">
        <v>83</v>
      </c>
      <c r="C4" s="3">
        <v>4.0</v>
      </c>
      <c r="D4" s="3">
        <v>15.0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>
        <v>4.0</v>
      </c>
      <c r="B5" s="3" t="s">
        <v>31</v>
      </c>
      <c r="C5" s="3">
        <v>3.0</v>
      </c>
      <c r="D5" s="3">
        <v>12.0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 t="s">
        <v>27</v>
      </c>
      <c r="B6" s="3" t="s">
        <v>55</v>
      </c>
      <c r="C6" s="3">
        <v>2.0</v>
      </c>
      <c r="D6" s="3">
        <v>11.0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" t="s">
        <v>27</v>
      </c>
      <c r="B7" s="3" t="s">
        <v>92</v>
      </c>
      <c r="C7" s="3">
        <v>2.0</v>
      </c>
      <c r="D7" s="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 t="s">
        <v>27</v>
      </c>
      <c r="B8" s="3" t="s">
        <v>60</v>
      </c>
      <c r="C8" s="3">
        <v>2.0</v>
      </c>
      <c r="D8" s="3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 t="s">
        <v>27</v>
      </c>
      <c r="B9" s="3" t="s">
        <v>34</v>
      </c>
      <c r="C9" s="3">
        <v>2.0</v>
      </c>
      <c r="D9" s="3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 t="s">
        <v>33</v>
      </c>
      <c r="B10" s="3" t="s">
        <v>22</v>
      </c>
      <c r="C10" s="3">
        <v>1.0</v>
      </c>
      <c r="D10" s="3">
        <v>5.0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 t="s">
        <v>33</v>
      </c>
      <c r="B11" s="3" t="s">
        <v>40</v>
      </c>
      <c r="C11" s="3">
        <v>1.0</v>
      </c>
      <c r="D11" s="3">
        <v>5.0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 t="s">
        <v>33</v>
      </c>
      <c r="B12" s="3" t="s">
        <v>94</v>
      </c>
      <c r="C12" s="3">
        <v>1.0</v>
      </c>
      <c r="D12" s="3">
        <v>5.0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 t="s">
        <v>33</v>
      </c>
      <c r="B13" s="3" t="s">
        <v>65</v>
      </c>
      <c r="C13" s="3">
        <v>1.0</v>
      </c>
      <c r="D13" s="3">
        <v>5.0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 t="s">
        <v>33</v>
      </c>
      <c r="B14" s="3" t="s">
        <v>38</v>
      </c>
      <c r="C14" s="3">
        <v>1.0</v>
      </c>
      <c r="D14" s="3">
        <v>5.0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 t="s">
        <v>33</v>
      </c>
      <c r="B15" s="3" t="s">
        <v>69</v>
      </c>
      <c r="C15" s="3">
        <v>1.0</v>
      </c>
      <c r="D15" s="3">
        <v>5.0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 t="s">
        <v>33</v>
      </c>
      <c r="B16" s="3" t="s">
        <v>71</v>
      </c>
      <c r="C16" s="3">
        <v>1.0</v>
      </c>
      <c r="D16" s="3">
        <v>5.0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 t="s">
        <v>33</v>
      </c>
      <c r="B17" s="3" t="s">
        <v>52</v>
      </c>
      <c r="C17" s="3">
        <v>1.0</v>
      </c>
      <c r="D17" s="3">
        <v>5.0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 t="s">
        <v>133</v>
      </c>
      <c r="B18" s="3" t="s">
        <v>68</v>
      </c>
      <c r="C18" s="3">
        <v>0.0</v>
      </c>
      <c r="D18" s="3">
        <v>0.0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" t="s">
        <v>133</v>
      </c>
      <c r="B19" s="3" t="s">
        <v>128</v>
      </c>
      <c r="C19" s="3">
        <v>0.0</v>
      </c>
      <c r="D19" s="3">
        <v>0.0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 t="s">
        <v>133</v>
      </c>
      <c r="B20" s="3" t="s">
        <v>56</v>
      </c>
      <c r="C20" s="3">
        <v>0.0</v>
      </c>
      <c r="D20" s="3">
        <v>0.0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" t="s">
        <v>133</v>
      </c>
      <c r="B21" s="3" t="s">
        <v>84</v>
      </c>
      <c r="C21" s="3">
        <v>0.0</v>
      </c>
      <c r="D21" s="3">
        <v>0.0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" t="s">
        <v>133</v>
      </c>
      <c r="B22" s="3" t="s">
        <v>20</v>
      </c>
      <c r="C22" s="3">
        <v>0.0</v>
      </c>
      <c r="D22" s="3">
        <v>0.0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" t="s">
        <v>133</v>
      </c>
      <c r="B23" s="3" t="s">
        <v>57</v>
      </c>
      <c r="C23" s="3">
        <v>0.0</v>
      </c>
      <c r="D23" s="3">
        <v>0.0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3" t="s">
        <v>133</v>
      </c>
      <c r="B24" s="3" t="s">
        <v>32</v>
      </c>
      <c r="C24" s="3">
        <v>0.0</v>
      </c>
      <c r="D24" s="3">
        <v>0.0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3" t="s">
        <v>133</v>
      </c>
      <c r="B25" s="3" t="s">
        <v>70</v>
      </c>
      <c r="C25" s="3">
        <v>0.0</v>
      </c>
      <c r="D25" s="3">
        <v>0.0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" t="s">
        <v>133</v>
      </c>
      <c r="B26" s="3" t="s">
        <v>59</v>
      </c>
      <c r="C26" s="3">
        <v>0.0</v>
      </c>
      <c r="D26" s="3">
        <v>0.0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" t="s">
        <v>133</v>
      </c>
      <c r="B27" s="3" t="s">
        <v>42</v>
      </c>
      <c r="C27" s="3">
        <v>0.0</v>
      </c>
      <c r="D27" s="3">
        <v>0.0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3" t="s">
        <v>133</v>
      </c>
      <c r="B28" s="3" t="s">
        <v>58</v>
      </c>
      <c r="C28" s="3">
        <v>0.0</v>
      </c>
      <c r="D28" s="3">
        <v>0.0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3" t="s">
        <v>133</v>
      </c>
      <c r="B29" s="3" t="s">
        <v>39</v>
      </c>
      <c r="C29" s="3">
        <v>0.0</v>
      </c>
      <c r="D29" s="3">
        <v>0.0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3" t="s">
        <v>133</v>
      </c>
      <c r="B30" s="3" t="s">
        <v>100</v>
      </c>
      <c r="C30" s="3">
        <v>0.0</v>
      </c>
      <c r="D30" s="3">
        <v>0.0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" t="s">
        <v>133</v>
      </c>
      <c r="B31" s="3" t="s">
        <v>67</v>
      </c>
      <c r="C31" s="3">
        <v>0.0</v>
      </c>
      <c r="D31" s="3">
        <v>0.0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3" t="s">
        <v>133</v>
      </c>
      <c r="B32" s="3" t="s">
        <v>28</v>
      </c>
      <c r="C32" s="3">
        <v>0.0</v>
      </c>
      <c r="D32" s="3">
        <v>0.0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3" t="s">
        <v>133</v>
      </c>
      <c r="B33" s="3" t="s">
        <v>63</v>
      </c>
      <c r="C33" s="3">
        <v>0.0</v>
      </c>
      <c r="D33" s="3">
        <v>0.0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3" t="s">
        <v>133</v>
      </c>
      <c r="B34" s="3" t="s">
        <v>108</v>
      </c>
      <c r="C34" s="3">
        <v>0.0</v>
      </c>
      <c r="D34" s="3">
        <v>0.0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1" t="s">
        <v>0</v>
      </c>
      <c r="B1" s="1" t="s">
        <v>1</v>
      </c>
      <c r="C1" s="1" t="s">
        <v>109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>
        <v>1.0</v>
      </c>
      <c r="B2" s="3" t="s">
        <v>24</v>
      </c>
      <c r="C2" s="3">
        <v>25.0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>
        <v>2.0</v>
      </c>
      <c r="B3" s="3" t="s">
        <v>43</v>
      </c>
      <c r="C3" s="3">
        <v>20.0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>
        <v>3.0</v>
      </c>
      <c r="B4" s="3" t="s">
        <v>76</v>
      </c>
      <c r="C4" s="3">
        <v>15.0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>
        <v>4.0</v>
      </c>
      <c r="B5" s="3" t="s">
        <v>87</v>
      </c>
      <c r="C5" s="3">
        <v>12.0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>
        <v>5.0</v>
      </c>
      <c r="B6" s="3" t="s">
        <v>35</v>
      </c>
      <c r="C6" s="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">
        <v>6.0</v>
      </c>
      <c r="B7" s="3" t="s">
        <v>52</v>
      </c>
      <c r="C7" s="3">
        <v>8.0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>
        <v>7.0</v>
      </c>
      <c r="B8" s="3" t="s">
        <v>78</v>
      </c>
      <c r="C8" s="3">
        <v>6.0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>
        <v>8.0</v>
      </c>
      <c r="B9" s="3" t="s">
        <v>94</v>
      </c>
      <c r="C9" s="3">
        <v>4.0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>
        <v>9.0</v>
      </c>
      <c r="B10" s="3" t="s">
        <v>20</v>
      </c>
      <c r="C10" s="3">
        <v>2.0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>
        <v>10.0</v>
      </c>
      <c r="B11" s="3" t="s">
        <v>32</v>
      </c>
      <c r="C11" s="3">
        <v>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>
        <v>11.0</v>
      </c>
      <c r="B12" s="3" t="s">
        <v>69</v>
      </c>
      <c r="C12" s="3">
        <v>2.0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>
        <v>12.0</v>
      </c>
      <c r="B13" s="3" t="s">
        <v>34</v>
      </c>
      <c r="C13" s="3">
        <v>2.0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>
        <v>13.0</v>
      </c>
      <c r="B14" s="3" t="s">
        <v>58</v>
      </c>
      <c r="C14" s="3">
        <v>1.0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>
        <v>14.0</v>
      </c>
      <c r="B15" s="3" t="s">
        <v>49</v>
      </c>
      <c r="C15" s="3">
        <v>1.0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>
        <v>15.0</v>
      </c>
      <c r="B16" s="3" t="s">
        <v>28</v>
      </c>
      <c r="C16" s="3">
        <v>0.0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>
        <v>16.0</v>
      </c>
      <c r="B17" s="3" t="s">
        <v>71</v>
      </c>
      <c r="C17" s="3">
        <v>0.0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 t="s">
        <v>134</v>
      </c>
      <c r="B18" s="3" t="s">
        <v>26</v>
      </c>
      <c r="C18" s="3">
        <v>0.0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">
        <v>18.0</v>
      </c>
      <c r="B19" s="3" t="s">
        <v>65</v>
      </c>
      <c r="C19" s="3">
        <v>-1.66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>
        <v>19.0</v>
      </c>
      <c r="B20" s="3" t="s">
        <v>59</v>
      </c>
      <c r="C20" s="3">
        <v>-1.66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">
        <v>20.0</v>
      </c>
      <c r="B21" s="3" t="s">
        <v>37</v>
      </c>
      <c r="C21" s="3">
        <v>-1.66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1" t="s">
        <v>0</v>
      </c>
      <c r="B1" s="1" t="s">
        <v>1</v>
      </c>
      <c r="C1" s="1" t="s">
        <v>125</v>
      </c>
      <c r="D1" s="1" t="s">
        <v>109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>
        <v>1.0</v>
      </c>
      <c r="B2" s="3" t="s">
        <v>24</v>
      </c>
      <c r="C2" s="3">
        <v>3.0</v>
      </c>
      <c r="D2" s="3">
        <v>25.0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>
        <v>1.0</v>
      </c>
      <c r="B3" s="3" t="s">
        <v>37</v>
      </c>
      <c r="C3" s="3">
        <v>3.0</v>
      </c>
      <c r="D3" s="3">
        <v>25.0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>
        <v>1.0</v>
      </c>
      <c r="B4" s="3" t="s">
        <v>38</v>
      </c>
      <c r="C4" s="3">
        <v>3.0</v>
      </c>
      <c r="D4" s="3">
        <v>25.0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>
        <v>1.0</v>
      </c>
      <c r="B5" s="3" t="s">
        <v>31</v>
      </c>
      <c r="C5" s="3">
        <v>3.0</v>
      </c>
      <c r="D5" s="3">
        <v>25.0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>
        <v>2.0</v>
      </c>
      <c r="B6" s="3" t="s">
        <v>56</v>
      </c>
      <c r="C6" s="3">
        <v>2.0</v>
      </c>
      <c r="D6" s="3">
        <v>20.0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">
        <v>2.0</v>
      </c>
      <c r="B7" s="3" t="s">
        <v>40</v>
      </c>
      <c r="C7" s="3">
        <v>2.0</v>
      </c>
      <c r="D7" s="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>
        <v>2.0</v>
      </c>
      <c r="B8" s="3" t="s">
        <v>20</v>
      </c>
      <c r="C8" s="3">
        <v>2.0</v>
      </c>
      <c r="D8" s="3">
        <v>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>
        <v>2.0</v>
      </c>
      <c r="B9" s="3" t="s">
        <v>52</v>
      </c>
      <c r="C9" s="3">
        <v>2.0</v>
      </c>
      <c r="D9" s="3">
        <v>20.0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>
        <v>3.0</v>
      </c>
      <c r="B10" s="3" t="s">
        <v>22</v>
      </c>
      <c r="C10" s="3">
        <v>2.0</v>
      </c>
      <c r="D10" s="3">
        <v>15.0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>
        <v>3.0</v>
      </c>
      <c r="B11" s="3" t="s">
        <v>26</v>
      </c>
      <c r="C11" s="3">
        <v>2.0</v>
      </c>
      <c r="D11" s="3">
        <v>15.0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>
        <v>3.0</v>
      </c>
      <c r="B12" s="3" t="s">
        <v>34</v>
      </c>
      <c r="C12" s="3">
        <v>2.0</v>
      </c>
      <c r="D12" s="3">
        <v>15.0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>
        <v>3.0</v>
      </c>
      <c r="B13" s="3" t="s">
        <v>75</v>
      </c>
      <c r="C13" s="3">
        <v>2.0</v>
      </c>
      <c r="D13" s="3">
        <v>15.0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>
        <v>4.0</v>
      </c>
      <c r="B14" s="3" t="s">
        <v>48</v>
      </c>
      <c r="C14" s="3">
        <v>1.0</v>
      </c>
      <c r="D14" s="3">
        <v>10.0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>
        <v>4.0</v>
      </c>
      <c r="B15" s="3" t="s">
        <v>55</v>
      </c>
      <c r="C15" s="3">
        <v>1.0</v>
      </c>
      <c r="D15" s="3">
        <v>10.0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>
        <v>4.0</v>
      </c>
      <c r="B16" s="3" t="s">
        <v>32</v>
      </c>
      <c r="C16" s="3">
        <v>1.0</v>
      </c>
      <c r="D16" s="3">
        <v>10.0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>
        <v>4.0</v>
      </c>
      <c r="B17" s="3" t="s">
        <v>65</v>
      </c>
      <c r="C17" s="3">
        <v>1.0</v>
      </c>
      <c r="D17" s="3">
        <v>10.0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 t="s">
        <v>27</v>
      </c>
      <c r="B18" s="3" t="s">
        <v>51</v>
      </c>
      <c r="C18" s="3">
        <v>1.0</v>
      </c>
      <c r="D18" s="3">
        <v>5.0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" t="s">
        <v>27</v>
      </c>
      <c r="B19" s="3" t="s">
        <v>70</v>
      </c>
      <c r="C19" s="3">
        <v>1.0</v>
      </c>
      <c r="D19" s="3">
        <v>5.0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 t="s">
        <v>27</v>
      </c>
      <c r="B20" s="3" t="s">
        <v>98</v>
      </c>
      <c r="C20" s="3">
        <v>1.0</v>
      </c>
      <c r="D20" s="3">
        <v>5.0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" t="s">
        <v>27</v>
      </c>
      <c r="B21" s="3" t="s">
        <v>43</v>
      </c>
      <c r="C21" s="3">
        <v>1.0</v>
      </c>
      <c r="D21" s="3">
        <v>5.0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" t="s">
        <v>27</v>
      </c>
      <c r="B22" s="3" t="s">
        <v>28</v>
      </c>
      <c r="C22" s="3">
        <v>1.0</v>
      </c>
      <c r="D22" s="3">
        <v>5.0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" t="s">
        <v>27</v>
      </c>
      <c r="B23" s="3" t="s">
        <v>79</v>
      </c>
      <c r="C23" s="3">
        <v>1.0</v>
      </c>
      <c r="D23" s="3">
        <v>5.0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3" t="s">
        <v>27</v>
      </c>
      <c r="B24" s="3" t="s">
        <v>63</v>
      </c>
      <c r="C24" s="3">
        <v>1.0</v>
      </c>
      <c r="D24" s="3">
        <v>5.0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3" t="s">
        <v>27</v>
      </c>
      <c r="B25" s="3" t="s">
        <v>39</v>
      </c>
      <c r="C25" s="3">
        <v>1.0</v>
      </c>
      <c r="D25" s="3">
        <v>5.0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" t="s">
        <v>127</v>
      </c>
      <c r="B26" s="3" t="s">
        <v>30</v>
      </c>
      <c r="C26" s="3">
        <v>0.0</v>
      </c>
      <c r="D26" s="3">
        <v>0.0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" t="s">
        <v>127</v>
      </c>
      <c r="B27" s="3" t="s">
        <v>71</v>
      </c>
      <c r="C27" s="3">
        <v>0.0</v>
      </c>
      <c r="D27" s="3">
        <v>0.0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3" t="s">
        <v>127</v>
      </c>
      <c r="B28" s="3" t="s">
        <v>99</v>
      </c>
      <c r="C28" s="3">
        <v>0.0</v>
      </c>
      <c r="D28" s="3">
        <v>0.0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3" t="s">
        <v>127</v>
      </c>
      <c r="B29" s="3" t="s">
        <v>57</v>
      </c>
      <c r="C29" s="3">
        <v>0.0</v>
      </c>
      <c r="D29" s="3">
        <v>0.0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3" t="s">
        <v>127</v>
      </c>
      <c r="B30" s="3" t="s">
        <v>69</v>
      </c>
      <c r="C30" s="3">
        <v>0.0</v>
      </c>
      <c r="D30" s="3">
        <v>0.0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" t="s">
        <v>127</v>
      </c>
      <c r="B31" s="3" t="s">
        <v>59</v>
      </c>
      <c r="C31" s="3">
        <v>0.0</v>
      </c>
      <c r="D31" s="3">
        <v>0.0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3" t="s">
        <v>127</v>
      </c>
      <c r="B32" s="3" t="s">
        <v>35</v>
      </c>
      <c r="C32" s="3">
        <v>0.0</v>
      </c>
      <c r="D32" s="3">
        <v>0.0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3" t="s">
        <v>127</v>
      </c>
      <c r="B33" s="3" t="s">
        <v>107</v>
      </c>
      <c r="C33" s="3">
        <v>0.0</v>
      </c>
      <c r="D33" s="3">
        <v>0.0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3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</cols>
  <sheetData>
    <row r="1">
      <c r="A1" s="1" t="s">
        <v>0</v>
      </c>
      <c r="B1" s="1" t="s">
        <v>1</v>
      </c>
      <c r="C1" s="1" t="s">
        <v>125</v>
      </c>
      <c r="D1" s="1" t="s">
        <v>109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>
        <v>1.0</v>
      </c>
      <c r="B2" s="3" t="s">
        <v>20</v>
      </c>
      <c r="C2" s="3">
        <v>3.0</v>
      </c>
      <c r="D2" s="3">
        <v>25.0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>
        <v>1.0</v>
      </c>
      <c r="B3" s="3" t="s">
        <v>35</v>
      </c>
      <c r="C3" s="3">
        <v>3.0</v>
      </c>
      <c r="D3" s="3">
        <v>25.0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>
        <v>2.0</v>
      </c>
      <c r="B4" s="3" t="s">
        <v>48</v>
      </c>
      <c r="C4" s="3">
        <v>2.0</v>
      </c>
      <c r="D4" s="3">
        <v>20.0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>
        <v>2.0</v>
      </c>
      <c r="B5" s="3" t="s">
        <v>28</v>
      </c>
      <c r="C5" s="3">
        <v>2.0</v>
      </c>
      <c r="D5" s="3">
        <v>20.0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>
        <v>3.0</v>
      </c>
      <c r="B6" s="3" t="s">
        <v>24</v>
      </c>
      <c r="C6" s="3">
        <v>2.0</v>
      </c>
      <c r="D6" s="3">
        <v>15.0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">
        <v>3.0</v>
      </c>
      <c r="B7" s="3" t="s">
        <v>43</v>
      </c>
      <c r="C7" s="3">
        <v>2.0</v>
      </c>
      <c r="D7" s="3">
        <v>15.0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>
        <v>4.0</v>
      </c>
      <c r="B8" s="3" t="s">
        <v>32</v>
      </c>
      <c r="C8" s="3">
        <v>1.0</v>
      </c>
      <c r="D8" s="3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>
        <v>4.0</v>
      </c>
      <c r="B9" s="3" t="s">
        <v>57</v>
      </c>
      <c r="C9" s="3">
        <v>1.0</v>
      </c>
      <c r="D9" s="3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 t="s">
        <v>27</v>
      </c>
      <c r="B10" s="3" t="s">
        <v>22</v>
      </c>
      <c r="C10" s="3">
        <v>0.0</v>
      </c>
      <c r="D10" s="3">
        <v>5.0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 t="s">
        <v>27</v>
      </c>
      <c r="B11" s="3" t="s">
        <v>52</v>
      </c>
      <c r="C11" s="3">
        <v>0.0</v>
      </c>
      <c r="D11" s="3">
        <v>5.0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 t="s">
        <v>27</v>
      </c>
      <c r="B12" s="3" t="s">
        <v>99</v>
      </c>
      <c r="C12" s="3">
        <v>0.0</v>
      </c>
      <c r="D12" s="3">
        <v>5.0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 t="s">
        <v>27</v>
      </c>
      <c r="B13" s="3" t="s">
        <v>37</v>
      </c>
      <c r="C13" s="3">
        <v>0.0</v>
      </c>
      <c r="D13" s="3">
        <v>5.0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 t="s">
        <v>27</v>
      </c>
      <c r="B14" s="3" t="s">
        <v>65</v>
      </c>
      <c r="C14" s="3">
        <v>0.0</v>
      </c>
      <c r="D14" s="3">
        <v>5.0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 t="s">
        <v>27</v>
      </c>
      <c r="B15" s="3" t="s">
        <v>70</v>
      </c>
      <c r="C15" s="3">
        <v>0.0</v>
      </c>
      <c r="D15" s="3">
        <v>5.0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 t="s">
        <v>27</v>
      </c>
      <c r="B16" s="3" t="s">
        <v>69</v>
      </c>
      <c r="C16" s="3">
        <v>0.0</v>
      </c>
      <c r="D16" s="3">
        <v>5.0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 t="s">
        <v>27</v>
      </c>
      <c r="B17" s="3" t="s">
        <v>49</v>
      </c>
      <c r="C17" s="3">
        <v>0.0</v>
      </c>
      <c r="D17" s="3">
        <v>5.0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 t="s">
        <v>133</v>
      </c>
      <c r="B18" s="3" t="s">
        <v>56</v>
      </c>
      <c r="C18" s="3">
        <v>0.0</v>
      </c>
      <c r="D18" s="3">
        <v>0.0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" t="s">
        <v>133</v>
      </c>
      <c r="B19" s="3" t="s">
        <v>51</v>
      </c>
      <c r="C19" s="3">
        <v>0.0</v>
      </c>
      <c r="D19" s="3">
        <v>0.0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 t="s">
        <v>133</v>
      </c>
      <c r="B20" s="3" t="s">
        <v>39</v>
      </c>
      <c r="C20" s="3">
        <v>0.0</v>
      </c>
      <c r="D20" s="3">
        <v>0.0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" t="s">
        <v>133</v>
      </c>
      <c r="B21" s="3" t="s">
        <v>31</v>
      </c>
      <c r="C21" s="3">
        <v>0.0</v>
      </c>
      <c r="D21" s="3">
        <v>0.0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" t="s">
        <v>133</v>
      </c>
      <c r="B22" s="3" t="s">
        <v>59</v>
      </c>
      <c r="C22" s="3">
        <v>0.0</v>
      </c>
      <c r="D22" s="3">
        <v>0.0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" t="s">
        <v>133</v>
      </c>
      <c r="B23" s="3" t="s">
        <v>58</v>
      </c>
      <c r="C23" s="3">
        <v>0.0</v>
      </c>
      <c r="D23" s="3">
        <v>0.0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3" t="s">
        <v>133</v>
      </c>
      <c r="B24" s="3" t="s">
        <v>63</v>
      </c>
      <c r="C24" s="3">
        <v>0.0</v>
      </c>
      <c r="D24" s="3">
        <v>0.0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3" t="s">
        <v>133</v>
      </c>
      <c r="B25" s="3" t="s">
        <v>135</v>
      </c>
      <c r="C25" s="3">
        <v>0.0</v>
      </c>
      <c r="D25" s="3">
        <v>0.0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" t="s">
        <v>133</v>
      </c>
      <c r="B26" s="3" t="s">
        <v>34</v>
      </c>
      <c r="C26" s="3">
        <v>0.0</v>
      </c>
      <c r="D26" s="3">
        <v>0.0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 t="s">
        <v>0</v>
      </c>
      <c r="B1" s="1" t="s">
        <v>1</v>
      </c>
      <c r="C1" s="1" t="s">
        <v>109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3">
        <v>1.0</v>
      </c>
      <c r="B2" s="3" t="s">
        <v>20</v>
      </c>
      <c r="C2" s="3">
        <v>25.0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3">
        <v>2.0</v>
      </c>
      <c r="B3" s="3" t="s">
        <v>59</v>
      </c>
      <c r="C3" s="3">
        <v>20.0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3">
        <v>3.0</v>
      </c>
      <c r="B4" s="3" t="s">
        <v>32</v>
      </c>
      <c r="C4" s="3">
        <v>15.0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3">
        <v>4.0</v>
      </c>
      <c r="B5" s="3" t="s">
        <v>31</v>
      </c>
      <c r="C5" s="3">
        <v>12.0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3">
        <v>5.0</v>
      </c>
      <c r="B6" s="3" t="s">
        <v>40</v>
      </c>
      <c r="C6" s="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3" t="s">
        <v>111</v>
      </c>
      <c r="B7" s="3" t="s">
        <v>22</v>
      </c>
      <c r="C7" s="3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3" t="s">
        <v>111</v>
      </c>
      <c r="B8" s="3" t="s">
        <v>100</v>
      </c>
      <c r="C8" s="3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3" t="s">
        <v>111</v>
      </c>
      <c r="B9" s="3" t="s">
        <v>58</v>
      </c>
      <c r="C9" s="3">
        <v>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" t="s">
        <v>111</v>
      </c>
      <c r="B10" s="3" t="s">
        <v>37</v>
      </c>
      <c r="C10" s="3">
        <v>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" t="s">
        <v>111</v>
      </c>
      <c r="B11" s="3" t="s">
        <v>75</v>
      </c>
      <c r="C11" s="3">
        <v>5.0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3" t="s">
        <v>114</v>
      </c>
      <c r="B12" s="3" t="s">
        <v>56</v>
      </c>
      <c r="C12" s="3">
        <v>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3" t="s">
        <v>114</v>
      </c>
      <c r="B13" s="3" t="s">
        <v>57</v>
      </c>
      <c r="C13" s="3">
        <v>3.0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3" t="s">
        <v>114</v>
      </c>
      <c r="B14" s="3" t="s">
        <v>103</v>
      </c>
      <c r="C14" s="3">
        <v>3.0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3" t="s">
        <v>114</v>
      </c>
      <c r="B15" s="3" t="s">
        <v>104</v>
      </c>
      <c r="C15" s="3">
        <v>3.0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3" t="s">
        <v>114</v>
      </c>
      <c r="B16" s="3" t="s">
        <v>71</v>
      </c>
      <c r="C16" s="3">
        <v>3.0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3" t="s">
        <v>41</v>
      </c>
      <c r="B17" s="3" t="s">
        <v>24</v>
      </c>
      <c r="C17" s="3">
        <v>0.0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3" t="s">
        <v>41</v>
      </c>
      <c r="B18" s="3" t="s">
        <v>34</v>
      </c>
      <c r="C18" s="3">
        <v>0.0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3" t="s">
        <v>41</v>
      </c>
      <c r="B19" s="3" t="s">
        <v>107</v>
      </c>
      <c r="C19" s="3">
        <v>0.0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3" t="s">
        <v>41</v>
      </c>
      <c r="B20" s="3" t="s">
        <v>39</v>
      </c>
      <c r="C20" s="3">
        <v>0.0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3" t="s">
        <v>41</v>
      </c>
      <c r="B21" s="3" t="s">
        <v>51</v>
      </c>
      <c r="C21" s="3">
        <v>0.0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3" t="s">
        <v>41</v>
      </c>
      <c r="B22" s="3" t="s">
        <v>78</v>
      </c>
      <c r="C22" s="3">
        <v>0.0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3" t="s">
        <v>41</v>
      </c>
      <c r="B23" s="3" t="s">
        <v>69</v>
      </c>
      <c r="C23" s="3">
        <v>0.0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3" t="s">
        <v>41</v>
      </c>
      <c r="B24" s="3" t="s">
        <v>52</v>
      </c>
      <c r="C24" s="3">
        <v>0.0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3" t="s">
        <v>41</v>
      </c>
      <c r="B25" s="3" t="s">
        <v>79</v>
      </c>
      <c r="C25" s="3">
        <v>0.0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3" t="s">
        <v>41</v>
      </c>
      <c r="B26" s="3" t="s">
        <v>136</v>
      </c>
      <c r="C26" s="3">
        <v>0.0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3" t="s">
        <v>41</v>
      </c>
      <c r="B27" s="3" t="s">
        <v>63</v>
      </c>
      <c r="C27" s="3">
        <v>0.0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3" t="s">
        <v>41</v>
      </c>
      <c r="B28" s="3" t="s">
        <v>43</v>
      </c>
      <c r="C28" s="3">
        <v>0.0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3" t="s">
        <v>41</v>
      </c>
      <c r="B29" s="3" t="s">
        <v>70</v>
      </c>
      <c r="C29" s="3">
        <v>0.0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3" t="s">
        <v>41</v>
      </c>
      <c r="B30" s="3" t="s">
        <v>26</v>
      </c>
      <c r="C30" s="3">
        <v>0.0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3" t="s">
        <v>41</v>
      </c>
      <c r="B31" s="3" t="s">
        <v>30</v>
      </c>
      <c r="C31" s="3">
        <v>0.0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1" t="s">
        <v>0</v>
      </c>
      <c r="B1" s="1" t="s">
        <v>1</v>
      </c>
      <c r="C1" s="1" t="s">
        <v>132</v>
      </c>
      <c r="D1" s="1" t="s">
        <v>109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>
        <v>1.0</v>
      </c>
      <c r="B2" s="3" t="s">
        <v>64</v>
      </c>
      <c r="C2" s="3">
        <v>38.0</v>
      </c>
      <c r="D2" s="3">
        <v>25.0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>
        <v>1.0</v>
      </c>
      <c r="B3" s="3" t="s">
        <v>22</v>
      </c>
      <c r="C3" s="3">
        <v>38.0</v>
      </c>
      <c r="D3" s="3">
        <v>25.0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>
        <v>2.0</v>
      </c>
      <c r="B4" s="3" t="s">
        <v>39</v>
      </c>
      <c r="C4" s="3">
        <v>38.0</v>
      </c>
      <c r="D4" s="3">
        <v>20.0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>
        <v>2.0</v>
      </c>
      <c r="B5" s="3" t="s">
        <v>49</v>
      </c>
      <c r="C5" s="3">
        <v>38.0</v>
      </c>
      <c r="D5" s="3">
        <v>20.0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>
        <v>3.0</v>
      </c>
      <c r="B6" s="3" t="s">
        <v>32</v>
      </c>
      <c r="C6" s="3">
        <v>38.0</v>
      </c>
      <c r="D6" s="3">
        <v>15.0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">
        <v>3.0</v>
      </c>
      <c r="B7" s="3" t="s">
        <v>84</v>
      </c>
      <c r="C7" s="3">
        <v>38.0</v>
      </c>
      <c r="D7" s="3">
        <v>15.0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>
        <v>4.0</v>
      </c>
      <c r="B8" s="3" t="s">
        <v>30</v>
      </c>
      <c r="C8" s="3">
        <v>39.0</v>
      </c>
      <c r="D8" s="3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>
        <v>4.0</v>
      </c>
      <c r="B9" s="3" t="s">
        <v>58</v>
      </c>
      <c r="C9" s="3">
        <v>39.0</v>
      </c>
      <c r="D9" s="3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>
        <v>5.0</v>
      </c>
      <c r="B10" s="3" t="s">
        <v>57</v>
      </c>
      <c r="C10" s="3">
        <v>40.0</v>
      </c>
      <c r="D10" s="3">
        <v>5.0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>
        <v>5.0</v>
      </c>
      <c r="B11" s="3" t="s">
        <v>37</v>
      </c>
      <c r="C11" s="3">
        <v>40.0</v>
      </c>
      <c r="D11" s="3">
        <v>5.0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 t="s">
        <v>111</v>
      </c>
      <c r="B12" s="3" t="s">
        <v>76</v>
      </c>
      <c r="C12" s="3">
        <v>41.0</v>
      </c>
      <c r="D12" s="3">
        <v>1.0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 t="s">
        <v>111</v>
      </c>
      <c r="B13" s="3" t="s">
        <v>28</v>
      </c>
      <c r="C13" s="3">
        <v>41.0</v>
      </c>
      <c r="D13" s="3">
        <v>1.0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 t="s">
        <v>111</v>
      </c>
      <c r="B14" s="3" t="s">
        <v>24</v>
      </c>
      <c r="C14" s="3">
        <v>41.0</v>
      </c>
      <c r="D14" s="3">
        <v>1.0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 t="s">
        <v>111</v>
      </c>
      <c r="B15" s="3" t="s">
        <v>26</v>
      </c>
      <c r="C15" s="3">
        <v>41.0</v>
      </c>
      <c r="D15" s="3">
        <v>1.0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>
        <v>8.0</v>
      </c>
      <c r="B16" s="3" t="s">
        <v>20</v>
      </c>
      <c r="C16" s="3">
        <v>43.0</v>
      </c>
      <c r="D16" s="3">
        <v>0.0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>
        <v>8.0</v>
      </c>
      <c r="B17" s="3" t="s">
        <v>63</v>
      </c>
      <c r="C17" s="3">
        <v>43.0</v>
      </c>
      <c r="D17" s="3">
        <v>0.0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>
        <v>8.0</v>
      </c>
      <c r="B18" s="3" t="s">
        <v>31</v>
      </c>
      <c r="C18" s="3">
        <v>43.0</v>
      </c>
      <c r="D18" s="3">
        <v>0.0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</cols>
  <sheetData>
    <row r="1">
      <c r="A1" s="1" t="s">
        <v>0</v>
      </c>
      <c r="B1" s="1" t="s">
        <v>1</v>
      </c>
      <c r="C1" s="1" t="s">
        <v>109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>
        <v>1.0</v>
      </c>
      <c r="B2" s="3" t="s">
        <v>26</v>
      </c>
      <c r="C2" s="3">
        <v>25.0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>
        <v>2.0</v>
      </c>
      <c r="B3" s="3" t="s">
        <v>30</v>
      </c>
      <c r="C3" s="3">
        <v>20.0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>
        <v>3.0</v>
      </c>
      <c r="B4" s="3" t="s">
        <v>31</v>
      </c>
      <c r="C4" s="3">
        <v>15.0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>
        <v>4.0</v>
      </c>
      <c r="B5" s="3" t="s">
        <v>65</v>
      </c>
      <c r="C5" s="3">
        <v>12.0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>
        <v>5.0</v>
      </c>
      <c r="B6" s="3" t="s">
        <v>24</v>
      </c>
      <c r="C6" s="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">
        <v>6.0</v>
      </c>
      <c r="B7" s="3" t="s">
        <v>93</v>
      </c>
      <c r="C7" s="3">
        <v>9.0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>
        <v>7.0</v>
      </c>
      <c r="B8" s="3" t="s">
        <v>71</v>
      </c>
      <c r="C8" s="3">
        <v>8.0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>
        <v>8.0</v>
      </c>
      <c r="B9" s="3" t="s">
        <v>58</v>
      </c>
      <c r="C9" s="3">
        <v>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>
        <v>9.0</v>
      </c>
      <c r="B10" s="3" t="s">
        <v>28</v>
      </c>
      <c r="C10" s="3">
        <v>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 t="s">
        <v>137</v>
      </c>
      <c r="B11" s="3" t="s">
        <v>37</v>
      </c>
      <c r="C11" s="3">
        <v>4.0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 t="s">
        <v>137</v>
      </c>
      <c r="B12" s="3" t="s">
        <v>101</v>
      </c>
      <c r="C12" s="3">
        <v>4.0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 t="s">
        <v>137</v>
      </c>
      <c r="B13" s="3" t="s">
        <v>57</v>
      </c>
      <c r="C13" s="3">
        <v>4.0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 t="s">
        <v>117</v>
      </c>
      <c r="B14" s="3" t="s">
        <v>59</v>
      </c>
      <c r="C14" s="3">
        <v>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 t="s">
        <v>117</v>
      </c>
      <c r="B15" s="3" t="s">
        <v>87</v>
      </c>
      <c r="C15" s="3">
        <v>0.0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 t="s">
        <v>117</v>
      </c>
      <c r="B16" s="3" t="s">
        <v>35</v>
      </c>
      <c r="C16" s="3">
        <v>0.0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 t="s">
        <v>117</v>
      </c>
      <c r="B17" s="3" t="s">
        <v>32</v>
      </c>
      <c r="C17" s="3">
        <v>0.0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 t="s">
        <v>117</v>
      </c>
      <c r="B18" s="3" t="s">
        <v>70</v>
      </c>
      <c r="C18" s="3">
        <v>0.0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" t="s">
        <v>117</v>
      </c>
      <c r="B19" s="3" t="s">
        <v>43</v>
      </c>
      <c r="C19" s="3">
        <v>0.0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 t="s">
        <v>117</v>
      </c>
      <c r="B20" s="3" t="s">
        <v>63</v>
      </c>
      <c r="C20" s="3">
        <v>0.0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" t="s">
        <v>117</v>
      </c>
      <c r="B21" s="3" t="s">
        <v>84</v>
      </c>
      <c r="C21" s="3">
        <v>0.0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"/>
      <c r="B22" s="8"/>
      <c r="C22" s="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"/>
      <c r="B23" s="8"/>
      <c r="C23" s="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3"/>
      <c r="B24" s="8"/>
      <c r="C24" s="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3"/>
      <c r="B25" s="8"/>
      <c r="C25" s="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"/>
      <c r="B26" s="8"/>
      <c r="C26" s="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"/>
      <c r="B27" s="8"/>
      <c r="C27" s="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3"/>
      <c r="B28" s="8"/>
      <c r="C28" s="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3"/>
      <c r="B29" s="8"/>
      <c r="C29" s="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3"/>
      <c r="B30" s="8"/>
      <c r="C30" s="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"/>
      <c r="B31" s="8"/>
      <c r="C31" s="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